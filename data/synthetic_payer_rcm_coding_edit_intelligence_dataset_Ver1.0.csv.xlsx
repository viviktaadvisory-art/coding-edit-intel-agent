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etorgft10354925-my.sharepoint.com/personal/vivek_vivikta_net/Documents/Documents/Dell/Vivek Work/2. Business/EvoluteIQ/Simplify Alpha/"/>
    </mc:Choice>
  </mc:AlternateContent>
  <xr:revisionPtr revIDLastSave="4" documentId="11_D7CB2A031C9CF65253796911D7585C17E9700457" xr6:coauthVersionLast="47" xr6:coauthVersionMax="47" xr10:uidLastSave="{9A8D8AFE-3BB1-4AF3-9727-135DB05B30E1}"/>
  <bookViews>
    <workbookView xWindow="-108" yWindow="-108" windowWidth="23256" windowHeight="13896" tabRatio="824" xr2:uid="{00000000-000D-0000-FFFF-FFFF00000000}"/>
  </bookViews>
  <sheets>
    <sheet name="README" sheetId="1" r:id="rId1"/>
    <sheet name="Scenario Catalog" sheetId="2" r:id="rId2"/>
    <sheet name="Providers" sheetId="3" r:id="rId3"/>
    <sheet name="Patients" sheetId="4" r:id="rId4"/>
    <sheet name="Coverage Contracts" sheetId="5" r:id="rId5"/>
    <sheet name="Claims Header" sheetId="6" r:id="rId6"/>
    <sheet name="Claim Lines" sheetId="7" r:id="rId7"/>
    <sheet name="Visits Encounters" sheetId="8" r:id="rId8"/>
    <sheet name="Provider Patterns" sheetId="9" r:id="rId9"/>
    <sheet name="Expected Agent Outcomes" sheetId="10" r:id="rId10"/>
    <sheet name="Audit Evidence" sheetId="11" r:id="rId11"/>
    <sheet name="Codebook" sheetId="12" r:id="rId12"/>
    <sheet name="Source Note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</calcChain>
</file>

<file path=xl/sharedStrings.xml><?xml version="1.0" encoding="utf-8"?>
<sst xmlns="http://schemas.openxmlformats.org/spreadsheetml/2006/main" count="1324" uniqueCount="654">
  <si>
    <t>Section</t>
  </si>
  <si>
    <t>Details</t>
  </si>
  <si>
    <t>Purpose</t>
  </si>
  <si>
    <t>Synthetic representative payer RCM dataset for multi-agent coding and edit intelligence demonstration.</t>
  </si>
  <si>
    <t>Synthetic data notice</t>
  </si>
  <si>
    <t>All patients, providers, identifiers, notes, contracts, claims, and audit rows are fabricated for demonstration. Do not use for clinical, billing, payment, or compliance determinations.</t>
  </si>
  <si>
    <t>Scenario count</t>
  </si>
  <si>
    <t>Providers</t>
  </si>
  <si>
    <t>Patients</t>
  </si>
  <si>
    <t>Claims</t>
  </si>
  <si>
    <t>Claim lines</t>
  </si>
  <si>
    <t>Key coverage</t>
  </si>
  <si>
    <t>CMS-1500 professional claims, UB-04/CMS-1450 institutional claims, STP, coding/edit errors, medical necessity, MUE, NPI mismatch, member coverage, long inpatient exposure, communication and audit evidence.</t>
  </si>
  <si>
    <t>Official reference notes</t>
  </si>
  <si>
    <t>CMS-1500: https://www.cms.gov/medicare/coding-billing/electronic-billing/professional-paper-claim-form; UB-04/CMS-1450: https://www.cms.gov/medicare/coding-billing/electronic-billing/institutional-paper-claim-form; NCCI/MUE: https://www.cms.gov/medicare/coding-billing/national-correct-coding-initiative-ncci-edits/medicare-ncci-medically-unlikely-edits-mues; ICD-10: https://www.cms.gov/medicare/coding-billing/icd-10-codes; HCPCS: https://www.cms.gov/medicare/coding-billing/healthcare-common-procedure-system; Remittance: https://www.cms.gov/medicare/coding-billing/electronic-billing/health-care-payment-remittance-advice</t>
  </si>
  <si>
    <t>Scenario ID</t>
  </si>
  <si>
    <t>Primary Demonstration</t>
  </si>
  <si>
    <t>Scenario Class</t>
  </si>
  <si>
    <t>Claim ID</t>
  </si>
  <si>
    <t>Injected Anomaly</t>
  </si>
  <si>
    <t>Expected Demo Outcome</t>
  </si>
  <si>
    <t>SCN01_STP_CLEAN</t>
  </si>
  <si>
    <t>Straight-through processing</t>
  </si>
  <si>
    <t>Clean professional claim</t>
  </si>
  <si>
    <t>CLM1001</t>
  </si>
  <si>
    <t>No anomaly</t>
  </si>
  <si>
    <t>STP approval</t>
  </si>
  <si>
    <t>SCN02_MISSING_MODIFIER</t>
  </si>
  <si>
    <t>Coding and edit error</t>
  </si>
  <si>
    <t>Clinical modifier issue</t>
  </si>
  <si>
    <t>CLM1002</t>
  </si>
  <si>
    <t>Missing modifier 25</t>
  </si>
  <si>
    <t>Corrected claim/provider remediation</t>
  </si>
  <si>
    <t>SCN03_MUE_EXCESS_UNITS</t>
  </si>
  <si>
    <t>MUE failure</t>
  </si>
  <si>
    <t>CLM1003</t>
  </si>
  <si>
    <t>Excess units</t>
  </si>
  <si>
    <t>HITL and corrected documentation</t>
  </si>
  <si>
    <t>SCN04_MED_NECESSITY_FAIL</t>
  </si>
  <si>
    <t>Denial with communication</t>
  </si>
  <si>
    <t>Medical necessity failure</t>
  </si>
  <si>
    <t>CLM1004</t>
  </si>
  <si>
    <t>Unsupported MRI</t>
  </si>
  <si>
    <t>Denial draft and clinical review</t>
  </si>
  <si>
    <t>SCN05_NPI_MISMATCH</t>
  </si>
  <si>
    <t>Non-clinical anomaly</t>
  </si>
  <si>
    <t>Provider entity mismatch</t>
  </si>
  <si>
    <t>CLM1005</t>
  </si>
  <si>
    <t>NPI mismatch</t>
  </si>
  <si>
    <t>Provider data review</t>
  </si>
  <si>
    <t>SCN06_COVERAGE_TERMED</t>
  </si>
  <si>
    <t>Member contract issue</t>
  </si>
  <si>
    <t>CLM1006</t>
  </si>
  <si>
    <t>Coverage termed</t>
  </si>
  <si>
    <t>Coverage denial draft</t>
  </si>
  <si>
    <t>SCN07_LONG_IP_EXPOSURE</t>
  </si>
  <si>
    <t>Compliance reporting</t>
  </si>
  <si>
    <t>Critical inpatient stay</t>
  </si>
  <si>
    <t>CLM1007</t>
  </si>
  <si>
    <t>Long IP exposure</t>
  </si>
  <si>
    <t>DRG validation and audit packet</t>
  </si>
  <si>
    <t>SCN08_CARDIAC_IP_CLEAN_WITH_REHAB_AUTH</t>
  </si>
  <si>
    <t>Complex but supported inpatient case</t>
  </si>
  <si>
    <t>CLM1008</t>
  </si>
  <si>
    <t>STP with enhanced evidence</t>
  </si>
  <si>
    <t>SCN09_REPEAT_VISIT_PROVIDER_PATTERN</t>
  </si>
  <si>
    <t>Provider pattern analytics</t>
  </si>
  <si>
    <t>Repeated modifier error</t>
  </si>
  <si>
    <t>CLM1009</t>
  </si>
  <si>
    <t>Provider PRV002 repeat pattern</t>
  </si>
  <si>
    <t>Provider education</t>
  </si>
  <si>
    <t>SCN10_ONCOLOGY_AUTH_GAP</t>
  </si>
  <si>
    <t>Denial/communication candidate</t>
  </si>
  <si>
    <t>Authorization gap</t>
  </si>
  <si>
    <t>CLM1010</t>
  </si>
  <si>
    <t>Missing prior authorization</t>
  </si>
  <si>
    <t>UM/HITL review</t>
  </si>
  <si>
    <t>SCN11_SNF_TRANSITION_ATTACHMENT_GAP</t>
  </si>
  <si>
    <t>Attachment gap</t>
  </si>
  <si>
    <t>CLM1011</t>
  </si>
  <si>
    <t>Missing discharge summary</t>
  </si>
  <si>
    <t>Attachment request</t>
  </si>
  <si>
    <t>SCN12_OON_CONTRACT_EXCLUSION</t>
  </si>
  <si>
    <t>Contract coverage exclusion</t>
  </si>
  <si>
    <t>CLM1012</t>
  </si>
  <si>
    <t>OON EPO exclusion</t>
  </si>
  <si>
    <t>Provider ID</t>
  </si>
  <si>
    <t>Provider Class</t>
  </si>
  <si>
    <t>Provider Name</t>
  </si>
  <si>
    <t>NPI</t>
  </si>
  <si>
    <t>TIN</t>
  </si>
  <si>
    <t>Taxonomy</t>
  </si>
  <si>
    <t>Specialty/Facility Type</t>
  </si>
  <si>
    <t>Network Status</t>
  </si>
  <si>
    <t>CMS Intake Form Class</t>
  </si>
  <si>
    <t>EDI Class</t>
  </si>
  <si>
    <t>Coding Risk Pattern</t>
  </si>
  <si>
    <t>Pattern Note</t>
  </si>
  <si>
    <t>PRV001</t>
  </si>
  <si>
    <t>Institution</t>
  </si>
  <si>
    <t>Northlake General Hospital</t>
  </si>
  <si>
    <t>1100001019</t>
  </si>
  <si>
    <t>TIN-10-00101</t>
  </si>
  <si>
    <t>282N00000X</t>
  </si>
  <si>
    <t>Acute Care Hospital</t>
  </si>
  <si>
    <t>Network</t>
  </si>
  <si>
    <t>UB-04 / CMS-1450</t>
  </si>
  <si>
    <t>837I</t>
  </si>
  <si>
    <t>Medium</t>
  </si>
  <si>
    <t>Baseline institutional inpatient and outpatient billing</t>
  </si>
  <si>
    <t>PRV002</t>
  </si>
  <si>
    <t>Individual</t>
  </si>
  <si>
    <t>Dr Asha Menon Family Medicine</t>
  </si>
  <si>
    <t>2100002023</t>
  </si>
  <si>
    <t>TIN-20-00202</t>
  </si>
  <si>
    <t>207Q00000X</t>
  </si>
  <si>
    <t>Family Medicine</t>
  </si>
  <si>
    <t>CMS-1500</t>
  </si>
  <si>
    <t>837P</t>
  </si>
  <si>
    <t>High</t>
  </si>
  <si>
    <t>Recurring missing modifier 25 on E/M with same-day minor procedure</t>
  </si>
  <si>
    <t>PRV003</t>
  </si>
  <si>
    <t>Dr Ravi Sharma Cardiology</t>
  </si>
  <si>
    <t>3100003037</t>
  </si>
  <si>
    <t>TIN-30-00303</t>
  </si>
  <si>
    <t>207RC0000X</t>
  </si>
  <si>
    <t>Cardiology</t>
  </si>
  <si>
    <t>Low</t>
  </si>
  <si>
    <t>Clean professional cardiology billing pattern</t>
  </si>
  <si>
    <t>PRV004</t>
  </si>
  <si>
    <t>Sunrise Ambulatory Surgery Center</t>
  </si>
  <si>
    <t>4100004041</t>
  </si>
  <si>
    <t>TIN-40-00404</t>
  </si>
  <si>
    <t>261QA1903X</t>
  </si>
  <si>
    <t>Ambulatory Surgical Center</t>
  </si>
  <si>
    <t>Recurring excess units and medical necessity attachment gaps</t>
  </si>
  <si>
    <t>PRV005</t>
  </si>
  <si>
    <t>Dr Maya Iyer Orthopedics</t>
  </si>
  <si>
    <t>5100005052</t>
  </si>
  <si>
    <t>TIN-50-00505</t>
  </si>
  <si>
    <t>207X00000X</t>
  </si>
  <si>
    <t>Orthopedic Surgery</t>
  </si>
  <si>
    <t>Out-of-Network</t>
  </si>
  <si>
    <t>Occasional out-of-network and coverage verification issues</t>
  </si>
  <si>
    <t>PRV006</t>
  </si>
  <si>
    <t>Metro Renal and Infusion Center</t>
  </si>
  <si>
    <t>6100006066</t>
  </si>
  <si>
    <t>TIN-60-00606</t>
  </si>
  <si>
    <t>261QE0700X</t>
  </si>
  <si>
    <t>End-Stage Renal Disease Treatment</t>
  </si>
  <si>
    <t>Clean chronic therapy and infusion pattern</t>
  </si>
  <si>
    <t>Member ID</t>
  </si>
  <si>
    <t>Synthetic Patient ID</t>
  </si>
  <si>
    <t>Synthetic Name</t>
  </si>
  <si>
    <t>Sex</t>
  </si>
  <si>
    <t>Age</t>
  </si>
  <si>
    <t>Contract ID</t>
  </si>
  <si>
    <t>Line of Business</t>
  </si>
  <si>
    <t>Eligibility Status</t>
  </si>
  <si>
    <t>Coverage Notes</t>
  </si>
  <si>
    <t>Clinical Condition Focus</t>
  </si>
  <si>
    <t>MBR001</t>
  </si>
  <si>
    <t>SYN-PAT-001</t>
  </si>
  <si>
    <t>Maya Rao</t>
  </si>
  <si>
    <t>F</t>
  </si>
  <si>
    <t>MA-PPO-001</t>
  </si>
  <si>
    <t>Medicare Advantage PPO</t>
  </si>
  <si>
    <t>Active</t>
  </si>
  <si>
    <t>Network only for routine labs; OON specialist requires authorization</t>
  </si>
  <si>
    <t>Diabetes with neuropathy</t>
  </si>
  <si>
    <t>MBR002</t>
  </si>
  <si>
    <t>SYN-PAT-002</t>
  </si>
  <si>
    <t>Arjun Patel</t>
  </si>
  <si>
    <t>M</t>
  </si>
  <si>
    <t>MA-HMO-002</t>
  </si>
  <si>
    <t>Medicare Advantage HMO</t>
  </si>
  <si>
    <t>Requires referral for cardiology and authorization for advanced imaging</t>
  </si>
  <si>
    <t>Coronary artery disease</t>
  </si>
  <si>
    <t>MBR003</t>
  </si>
  <si>
    <t>SYN-PAT-003</t>
  </si>
  <si>
    <t>Nina George</t>
  </si>
  <si>
    <t>COMM-PPO-003</t>
  </si>
  <si>
    <t>Commercial PPO</t>
  </si>
  <si>
    <t>Physical therapy allowed 20 visits per year</t>
  </si>
  <si>
    <t>Knee osteoarthritis</t>
  </si>
  <si>
    <t>MBR004</t>
  </si>
  <si>
    <t>SYN-PAT-004</t>
  </si>
  <si>
    <t>Farhan Ali</t>
  </si>
  <si>
    <t>MA-DSNP-004</t>
  </si>
  <si>
    <t>Medicare Advantage DSNP</t>
  </si>
  <si>
    <t>Dual eligible; DME and dialysis covered with documentation</t>
  </si>
  <si>
    <t>End-stage renal disease</t>
  </si>
  <si>
    <t>MBR005</t>
  </si>
  <si>
    <t>SYN-PAT-005</t>
  </si>
  <si>
    <t>Leena Kapoor</t>
  </si>
  <si>
    <t>MA-HMO-005</t>
  </si>
  <si>
    <t>Cataract surgery requires laterality and medical necessity evidence</t>
  </si>
  <si>
    <t>Cataract</t>
  </si>
  <si>
    <t>MBR006</t>
  </si>
  <si>
    <t>SYN-PAT-006</t>
  </si>
  <si>
    <t>Omar Khan</t>
  </si>
  <si>
    <t>COMM-EPO-006</t>
  </si>
  <si>
    <t>Commercial EPO</t>
  </si>
  <si>
    <t>Inpatient emergency covered; post-acute requires authorization</t>
  </si>
  <si>
    <t>Sepsis with pneumonia</t>
  </si>
  <si>
    <t>MBR007</t>
  </si>
  <si>
    <t>SYN-PAT-007</t>
  </si>
  <si>
    <t>Meera Das</t>
  </si>
  <si>
    <t>COMM-HSA-007</t>
  </si>
  <si>
    <t>Commercial HDHP</t>
  </si>
  <si>
    <t>Routine office and minor procedures covered subject to deductible</t>
  </si>
  <si>
    <t>Hypertension and skin lesion</t>
  </si>
  <si>
    <t>MBR008</t>
  </si>
  <si>
    <t>SYN-PAT-008</t>
  </si>
  <si>
    <t>Dev Singh</t>
  </si>
  <si>
    <t>MA-PPO-008</t>
  </si>
  <si>
    <t>Cardiac inpatient covered; cardiac rehab requires authorization</t>
  </si>
  <si>
    <t>Acute myocardial infarction</t>
  </si>
  <si>
    <t>MBR009</t>
  </si>
  <si>
    <t>SYN-PAT-009</t>
  </si>
  <si>
    <t>Sara Thomas</t>
  </si>
  <si>
    <t>COMM-PPO-009</t>
  </si>
  <si>
    <t>Termed</t>
  </si>
  <si>
    <t>Coverage ended before submitted date of service</t>
  </si>
  <si>
    <t>Migraine</t>
  </si>
  <si>
    <t>MBR010</t>
  </si>
  <si>
    <t>SYN-PAT-010</t>
  </si>
  <si>
    <t>Kabir Bose</t>
  </si>
  <si>
    <t>COMM-PPO-010</t>
  </si>
  <si>
    <t>Oncology infusion covered; genetic testing requires prior authorization</t>
  </si>
  <si>
    <t>Colon cancer</t>
  </si>
  <si>
    <t>MBR011</t>
  </si>
  <si>
    <t>SYN-PAT-011</t>
  </si>
  <si>
    <t>Anika Sen</t>
  </si>
  <si>
    <t>MA-HMO-011</t>
  </si>
  <si>
    <t>SNF transition requires discharge summary and authorization</t>
  </si>
  <si>
    <t>Stroke</t>
  </si>
  <si>
    <t>MBR012</t>
  </si>
  <si>
    <t>SYN-PAT-012</t>
  </si>
  <si>
    <t>Rohan Mehta</t>
  </si>
  <si>
    <t>COMM-EPO-012</t>
  </si>
  <si>
    <t>Out-of-network professional services not covered except emergency</t>
  </si>
  <si>
    <t>Lumbar strain</t>
  </si>
  <si>
    <t>Effective From</t>
  </si>
  <si>
    <t>Effective To</t>
  </si>
  <si>
    <t>Coverage Rule Summary</t>
  </si>
  <si>
    <t>Codes/Services In Scope</t>
  </si>
  <si>
    <t>Coverage Rule Flag</t>
  </si>
  <si>
    <t>2026-01-01</t>
  </si>
  <si>
    <t>2026-12-31</t>
  </si>
  <si>
    <t>MRI requires documented conservative management or red flags</t>
  </si>
  <si>
    <t>72148</t>
  </si>
  <si>
    <t>MED_NEC_REQUIRED</t>
  </si>
  <si>
    <t>Cardiology referral on file</t>
  </si>
  <si>
    <t>99214;93000</t>
  </si>
  <si>
    <t>COVERED</t>
  </si>
  <si>
    <t>Orthopedic services covered in and out of network with cost share</t>
  </si>
  <si>
    <t>73562;20610</t>
  </si>
  <si>
    <t>Therapy units must match documented time</t>
  </si>
  <si>
    <t>97110;97530</t>
  </si>
  <si>
    <t>MUE_REVIEW</t>
  </si>
  <si>
    <t>2025-01-01</t>
  </si>
  <si>
    <t>2026-03-31</t>
  </si>
  <si>
    <t>No coverage after termination date</t>
  </si>
  <si>
    <t>99213</t>
  </si>
  <si>
    <t>NOT_COVERED</t>
  </si>
  <si>
    <t>Genetic testing requires prior authorization</t>
  </si>
  <si>
    <t>81210</t>
  </si>
  <si>
    <t>AUTH_REQUIRED</t>
  </si>
  <si>
    <t>A0428</t>
  </si>
  <si>
    <t>ATTACHMENT_REQUIRED</t>
  </si>
  <si>
    <t>Out-of-network care excluded except emergency</t>
  </si>
  <si>
    <t>99203;72100</t>
  </si>
  <si>
    <t>OON_EXCLUDED</t>
  </si>
  <si>
    <t>Received Date</t>
  </si>
  <si>
    <t>Submitted Billing NPI</t>
  </si>
  <si>
    <t>Claim Type</t>
  </si>
  <si>
    <t>Claim Status</t>
  </si>
  <si>
    <t>Total Charge</t>
  </si>
  <si>
    <t>Scenario Bucket</t>
  </si>
  <si>
    <t>Expected HITL</t>
  </si>
  <si>
    <t>Risk Level</t>
  </si>
  <si>
    <t>Narrative</t>
  </si>
  <si>
    <t>2026-04-03</t>
  </si>
  <si>
    <t>Professional</t>
  </si>
  <si>
    <t>Submitted</t>
  </si>
  <si>
    <t>Clean STP</t>
  </si>
  <si>
    <t>No</t>
  </si>
  <si>
    <t>Cardiology office visit with ECG; valid diagnosis support and NCCI/MUE pass</t>
  </si>
  <si>
    <t>2026-04-05</t>
  </si>
  <si>
    <t>Coding/Edit Error</t>
  </si>
  <si>
    <t>Yes</t>
  </si>
  <si>
    <t>Same-day E/M and lesion destruction without modifier 25</t>
  </si>
  <si>
    <t>2026-04-07</t>
  </si>
  <si>
    <t>Institutional Outpatient</t>
  </si>
  <si>
    <t>NCCI/MUE Failure</t>
  </si>
  <si>
    <t>Facility outpatient therapy units exceed illustrative MUE threshold</t>
  </si>
  <si>
    <t>2026-04-10</t>
  </si>
  <si>
    <t>Medical Necessity Failure</t>
  </si>
  <si>
    <t>Advanced imaging submitted for neuropathy without conservative care or neuro deficit evidence</t>
  </si>
  <si>
    <t>2026-04-12</t>
  </si>
  <si>
    <t>9991112225</t>
  </si>
  <si>
    <t>Non-Clinical Anomaly</t>
  </si>
  <si>
    <t>Rendering NPI in claim does not match provider master</t>
  </si>
  <si>
    <t>2026-04-15</t>
  </si>
  <si>
    <t>Contract Coverage Failure</t>
  </si>
  <si>
    <t>Member coverage terminated before date of service</t>
  </si>
  <si>
    <t>2026-04-18</t>
  </si>
  <si>
    <t>Institutional Inpatient</t>
  </si>
  <si>
    <t>Long IP Critical Condition</t>
  </si>
  <si>
    <t>Seven-day sepsis admission; clinical review and DRG validation expected</t>
  </si>
  <si>
    <t>2026-04-22</t>
  </si>
  <si>
    <t>Complex IP Clean</t>
  </si>
  <si>
    <t>AMI inpatient episode; cardiac rehab auth present</t>
  </si>
  <si>
    <t>2026-04-24</t>
  </si>
  <si>
    <t>Provider Pattern</t>
  </si>
  <si>
    <t>Repeat missing modifier issue from same provider</t>
  </si>
  <si>
    <t>2026-04-26</t>
  </si>
  <si>
    <t>Medical Necessity/Auth Review</t>
  </si>
  <si>
    <t>Genetic panel billed with infusion; prior authorization missing</t>
  </si>
  <si>
    <t>2026-04-28</t>
  </si>
  <si>
    <t>Attachment Gap</t>
  </si>
  <si>
    <t>Stroke discharge to SNF; missing discharge summary attachment</t>
  </si>
  <si>
    <t>2026-05-02</t>
  </si>
  <si>
    <t>Out-of-network EPO service, non-emergency</t>
  </si>
  <si>
    <t>Line No</t>
  </si>
  <si>
    <t>Procedure Code</t>
  </si>
  <si>
    <t>Code System</t>
  </si>
  <si>
    <t>Primary Diagnosis</t>
  </si>
  <si>
    <t>Modifier</t>
  </si>
  <si>
    <t>Units</t>
  </si>
  <si>
    <t>Place of Service</t>
  </si>
  <si>
    <t>Line Charge</t>
  </si>
  <si>
    <t>Expected Line Result</t>
  </si>
  <si>
    <t>Line Rationale</t>
  </si>
  <si>
    <t>99214</t>
  </si>
  <si>
    <t>CPT</t>
  </si>
  <si>
    <t>I25.10</t>
  </si>
  <si>
    <t>11</t>
  </si>
  <si>
    <t>PASS</t>
  </si>
  <si>
    <t>Professional E/M supported by CAD follow-up note</t>
  </si>
  <si>
    <t>93000</t>
  </si>
  <si>
    <t>ECG supported by chest discomfort assessment</t>
  </si>
  <si>
    <t>L98.9</t>
  </si>
  <si>
    <t>FAIL_MODIFIER</t>
  </si>
  <si>
    <t>Separate E/M billed same day as minor procedure; modifier 25 expected</t>
  </si>
  <si>
    <t>17110</t>
  </si>
  <si>
    <t>PASS_WITH_CONTEXT</t>
  </si>
  <si>
    <t>Benign lesion destruction supported by note</t>
  </si>
  <si>
    <t>97110</t>
  </si>
  <si>
    <t>M17.11</t>
  </si>
  <si>
    <t>GP</t>
  </si>
  <si>
    <t>22</t>
  </si>
  <si>
    <t>FAIL_MUE</t>
  </si>
  <si>
    <t>Units exceed illustrative same-date threshold</t>
  </si>
  <si>
    <t>97530</t>
  </si>
  <si>
    <t>E11.40</t>
  </si>
  <si>
    <t>FAIL_MED_NEC</t>
  </si>
  <si>
    <t>Lumbar MRI not supported by diabetic neuropathy note</t>
  </si>
  <si>
    <t>73562</t>
  </si>
  <si>
    <t>M17.12</t>
  </si>
  <si>
    <t>FAIL_NPI</t>
  </si>
  <si>
    <t>Rendering provider NPI mismatch</t>
  </si>
  <si>
    <t>20610</t>
  </si>
  <si>
    <t>LT</t>
  </si>
  <si>
    <t>Joint injection laterality present</t>
  </si>
  <si>
    <t>G43.909</t>
  </si>
  <si>
    <t>FAIL_COVERAGE</t>
  </si>
  <si>
    <t>Member coverage termed</t>
  </si>
  <si>
    <t>MS-DRG-871</t>
  </si>
  <si>
    <t>DRG</t>
  </si>
  <si>
    <t>A41.9</t>
  </si>
  <si>
    <t>21</t>
  </si>
  <si>
    <t>NEEDS_REVIEW</t>
  </si>
  <si>
    <t>Sepsis DRG validation for long inpatient stay</t>
  </si>
  <si>
    <t>71045</t>
  </si>
  <si>
    <t>J18.9</t>
  </si>
  <si>
    <t>Serial chest x-rays during inpatient stay</t>
  </si>
  <si>
    <t>J0696</t>
  </si>
  <si>
    <t>HCPCS</t>
  </si>
  <si>
    <t>Illustrative antibiotic administration units</t>
  </si>
  <si>
    <t>MS-DRG-280</t>
  </si>
  <si>
    <t>I21.4</t>
  </si>
  <si>
    <t>AMI with intervention; inpatient episode supported</t>
  </si>
  <si>
    <t>93798</t>
  </si>
  <si>
    <t>PASS_AUTH</t>
  </si>
  <si>
    <t>Cardiac rehab authorization present</t>
  </si>
  <si>
    <t>Repeat same provider missing modifier 25 pattern</t>
  </si>
  <si>
    <t>17000</t>
  </si>
  <si>
    <t>L57.0</t>
  </si>
  <si>
    <t>Actinic keratosis destruction supported</t>
  </si>
  <si>
    <t>96413</t>
  </si>
  <si>
    <t>C18.9</t>
  </si>
  <si>
    <t>Chemotherapy infusion supported</t>
  </si>
  <si>
    <t>FAIL_AUTH</t>
  </si>
  <si>
    <t>Genetic testing prior authorization missing</t>
  </si>
  <si>
    <t>99233</t>
  </si>
  <si>
    <t>I63.9</t>
  </si>
  <si>
    <t>Subsequent inpatient visits supported</t>
  </si>
  <si>
    <t>41</t>
  </si>
  <si>
    <t>NEEDS_ATTACHMENT</t>
  </si>
  <si>
    <t>SNF transfer requires discharge summary attachment</t>
  </si>
  <si>
    <t>99203</t>
  </si>
  <si>
    <t>S39.012A</t>
  </si>
  <si>
    <t>FAIL_CONTRACT</t>
  </si>
  <si>
    <t>Out-of-network EPO non-emergency service</t>
  </si>
  <si>
    <t>72100</t>
  </si>
  <si>
    <t>Encounter ID</t>
  </si>
  <si>
    <t>Encounter Date</t>
  </si>
  <si>
    <t>Encounter Type</t>
  </si>
  <si>
    <t>Synthetic Clinical Note Summary</t>
  </si>
  <si>
    <t>Length of Stay / Visits</t>
  </si>
  <si>
    <t>More Than One Visit Or Long Exposure</t>
  </si>
  <si>
    <t>ENC001</t>
  </si>
  <si>
    <t>Outpatient Office</t>
  </si>
  <si>
    <t>Chest discomfort follow-up; ECG ordered; CAD history reviewed</t>
  </si>
  <si>
    <t>ENC002</t>
  </si>
  <si>
    <t>Hypertension follow-up plus same-day lesion destruction; separate E/M documented</t>
  </si>
  <si>
    <t>ENC003</t>
  </si>
  <si>
    <t>Outpatient Facility</t>
  </si>
  <si>
    <t>Therapy session after knee pain; billed units exceed documented time</t>
  </si>
  <si>
    <t>ENC004</t>
  </si>
  <si>
    <t>Diabetic neuropathy symptoms; lumbar MRI ordered without red flag evidence</t>
  </si>
  <si>
    <t>ENC005</t>
  </si>
  <si>
    <t>Left knee pain; x-ray and injection documented</t>
  </si>
  <si>
    <t>ENC006</t>
  </si>
  <si>
    <t>Migraine medication refill</t>
  </si>
  <si>
    <t>ENC007</t>
  </si>
  <si>
    <t>Inpatient Acute</t>
  </si>
  <si>
    <t>Sepsis due to pneumonia; ICU exposure; IV antibiotics and serial imaging</t>
  </si>
  <si>
    <t>ENC008</t>
  </si>
  <si>
    <t>NSTEMI admission with cardiac intervention and rehab authorization</t>
  </si>
  <si>
    <t>ENC009</t>
  </si>
  <si>
    <t>Repeat lesion procedure with separate problem-oriented visit documented</t>
  </si>
  <si>
    <t>ENC010</t>
  </si>
  <si>
    <t>Outpatient Infusion</t>
  </si>
  <si>
    <t>Colon cancer infusion; genetic panel requested without PA record</t>
  </si>
  <si>
    <t>ENC011</t>
  </si>
  <si>
    <t>Stroke admission with SNF transfer; discharge packet incomplete</t>
  </si>
  <si>
    <t>ENC012</t>
  </si>
  <si>
    <t>Lumbar strain after lifting; non-emergency OON orthopedic visit</t>
  </si>
  <si>
    <t>Sample Claim Count</t>
  </si>
  <si>
    <t>Clean Claims</t>
  </si>
  <si>
    <t>Modifier Issues</t>
  </si>
  <si>
    <t>MUE Issues</t>
  </si>
  <si>
    <t>Coverage/Auth/Entity Issues</t>
  </si>
  <si>
    <t>Coding Pattern Risk</t>
  </si>
  <si>
    <t>Pattern Interpretation</t>
  </si>
  <si>
    <t>DRG/attachment review for complex IP only</t>
  </si>
  <si>
    <t>Consistent missing modifier 25 on same-day E/M plus minor procedure</t>
  </si>
  <si>
    <t>No recurring anomaly in sample</t>
  </si>
  <si>
    <t>Consistent MUE excess units and medical necessity attachment gaps</t>
  </si>
  <si>
    <t>Contract and NPI validation issues</t>
  </si>
  <si>
    <t>Authorization-dependent oncology service</t>
  </si>
  <si>
    <t>Final Disposition</t>
  </si>
  <si>
    <t>Dominant Anomaly</t>
  </si>
  <si>
    <t>ICD/CPT/HCPCS Agent</t>
  </si>
  <si>
    <t>Modifier Agent</t>
  </si>
  <si>
    <t>NCCI/MUE Agent</t>
  </si>
  <si>
    <t>Medical Necessity Agent</t>
  </si>
  <si>
    <t>HITL Required</t>
  </si>
  <si>
    <t>Recommended Action</t>
  </si>
  <si>
    <t>Evidence Rationale</t>
  </si>
  <si>
    <t>STP Eligible</t>
  </si>
  <si>
    <t>None</t>
  </si>
  <si>
    <t>LOW</t>
  </si>
  <si>
    <t>Approve for adjudication</t>
  </si>
  <si>
    <t>All deterministic validations pass</t>
  </si>
  <si>
    <t>Remediation</t>
  </si>
  <si>
    <t>Missing Modifier</t>
  </si>
  <si>
    <t>FAIL</t>
  </si>
  <si>
    <t>PASS_WITH_MODIFIER</t>
  </si>
  <si>
    <t>MEDIUM</t>
  </si>
  <si>
    <t>Conditional</t>
  </si>
  <si>
    <t>Request modifier 25 or corrected claim</t>
  </si>
  <si>
    <t>Separate E/M documented but modifier missing</t>
  </si>
  <si>
    <t>Denial/Remediation</t>
  </si>
  <si>
    <t>MUE Excess Units</t>
  </si>
  <si>
    <t>HIGH</t>
  </si>
  <si>
    <t>Request corrected units and therapy time documentation</t>
  </si>
  <si>
    <t>Units exceed illustrative MUE threshold</t>
  </si>
  <si>
    <t>Denial Draft</t>
  </si>
  <si>
    <t>Draft denial with medical necessity rationale</t>
  </si>
  <si>
    <t>SOAP note does not support MRI</t>
  </si>
  <si>
    <t>Entity Resolution</t>
  </si>
  <si>
    <t>NPI Mismatch</t>
  </si>
  <si>
    <t>Route to provider data review</t>
  </si>
  <si>
    <t>Submitted rendering NPI differs from provider master</t>
  </si>
  <si>
    <t>Coverage Denial Draft</t>
  </si>
  <si>
    <t>Coverage Termed</t>
  </si>
  <si>
    <t>Draft member/provider coverage denial</t>
  </si>
  <si>
    <t>Member contract inactive on date of service</t>
  </si>
  <si>
    <t>Clinical Review</t>
  </si>
  <si>
    <t>Long IP Exposure</t>
  </si>
  <si>
    <t>NA</t>
  </si>
  <si>
    <t>Route to DRG clinical validation</t>
  </si>
  <si>
    <t>High-dollar seven-day sepsis stay</t>
  </si>
  <si>
    <t>STP Eligible with Audit</t>
  </si>
  <si>
    <t>Approve with enhanced audit packet</t>
  </si>
  <si>
    <t>Complex but supported admission and authorization</t>
  </si>
  <si>
    <t>Provider Education</t>
  </si>
  <si>
    <t>Repeat Missing Modifier</t>
  </si>
  <si>
    <t>Provider education and corrected claim request</t>
  </si>
  <si>
    <t>Repeat pattern from provider PRV002</t>
  </si>
  <si>
    <t>Auth Review</t>
  </si>
  <si>
    <t>Authorization Missing</t>
  </si>
  <si>
    <t>Route to UM/auth and communication approval</t>
  </si>
  <si>
    <t>Genetic panel requires PA</t>
  </si>
  <si>
    <t>Attachment Request</t>
  </si>
  <si>
    <t>Missing Attachment</t>
  </si>
  <si>
    <t>Request discharge summary before final decision</t>
  </si>
  <si>
    <t>SNF transfer support missing</t>
  </si>
  <si>
    <t>OON Contract Exclusion</t>
  </si>
  <si>
    <t>Draft contract exclusion denial</t>
  </si>
  <si>
    <t>EPO non-emergency OON exclusion</t>
  </si>
  <si>
    <t>Audit Event ID</t>
  </si>
  <si>
    <t>Case ID</t>
  </si>
  <si>
    <t>Event Timestamp</t>
  </si>
  <si>
    <t>Agent Chain</t>
  </si>
  <si>
    <t>Disposition</t>
  </si>
  <si>
    <t>Anomaly</t>
  </si>
  <si>
    <t>HITL</t>
  </si>
  <si>
    <t>Action</t>
  </si>
  <si>
    <t>Rationale</t>
  </si>
  <si>
    <t>Source Integrity Note</t>
  </si>
  <si>
    <t>Governance Control Tags</t>
  </si>
  <si>
    <t>AUD-0001</t>
  </si>
  <si>
    <t>CASE-1001</t>
  </si>
  <si>
    <t>Intake;IDP;OntologyNormalization;EntityResolution;CodingValidation;ModifierValidation;NCCI_MUE;MedicalNecessity;ProviderPattern;Remediation;AuditEvidence</t>
  </si>
  <si>
    <t>Synthetic source package; no real PHI/PII</t>
  </si>
  <si>
    <t>ISO42001-AI-Risk;NIST-AI-RMF-Measure;OWASP-LLM-SensitiveInfo;HIPAA-MinimumNecessary</t>
  </si>
  <si>
    <t>AUD-0002</t>
  </si>
  <si>
    <t>CASE-1002</t>
  </si>
  <si>
    <t>AUD-0003</t>
  </si>
  <si>
    <t>CASE-1003</t>
  </si>
  <si>
    <t>AUD-0004</t>
  </si>
  <si>
    <t>CASE-1004</t>
  </si>
  <si>
    <t>AUD-0005</t>
  </si>
  <si>
    <t>CASE-1005</t>
  </si>
  <si>
    <t>AUD-0006</t>
  </si>
  <si>
    <t>CASE-1006</t>
  </si>
  <si>
    <t>AUD-0007</t>
  </si>
  <si>
    <t>CASE-1007</t>
  </si>
  <si>
    <t>AUD-0008</t>
  </si>
  <si>
    <t>CASE-1008</t>
  </si>
  <si>
    <t>AUD-0009</t>
  </si>
  <si>
    <t>CASE-1009</t>
  </si>
  <si>
    <t>AUD-0010</t>
  </si>
  <si>
    <t>CASE-1010</t>
  </si>
  <si>
    <t>AUD-0011</t>
  </si>
  <si>
    <t>CASE-1011</t>
  </si>
  <si>
    <t>AUD-0012</t>
  </si>
  <si>
    <t>CASE-1012</t>
  </si>
  <si>
    <t>Code</t>
  </si>
  <si>
    <t>Illustrative Display</t>
  </si>
  <si>
    <t>Code Role</t>
  </si>
  <si>
    <t>Demo Usage Note</t>
  </si>
  <si>
    <t>Reference Source</t>
  </si>
  <si>
    <t>ICD-10-CM</t>
  </si>
  <si>
    <t>Atherosclerotic heart disease without angina</t>
  </si>
  <si>
    <t>Diagnosis code</t>
  </si>
  <si>
    <t>Illustrative diagnosis descriptor</t>
  </si>
  <si>
    <t>https://www.cms.gov/medicare/coding-billing/icd-10-codes</t>
  </si>
  <si>
    <t>Disorder of skin and subcutaneous tissue, unspecified</t>
  </si>
  <si>
    <t>Used for minor lesion scenario</t>
  </si>
  <si>
    <t>Unilateral primary osteoarthritis, right knee</t>
  </si>
  <si>
    <t>Used for therapy MUE scenario</t>
  </si>
  <si>
    <t>Type 2 diabetes mellitus with diabetic neuropathy</t>
  </si>
  <si>
    <t>Used for medical necessity mismatch</t>
  </si>
  <si>
    <t>Sepsis, unspecified organism</t>
  </si>
  <si>
    <t>Used for long inpatient critical condition</t>
  </si>
  <si>
    <t>Pneumonia, unspecified organism</t>
  </si>
  <si>
    <t>Supports pneumonia/sepsis inpatient exposure</t>
  </si>
  <si>
    <t>Non-ST elevation myocardial infarction</t>
  </si>
  <si>
    <t>Used for complex clean inpatient scenario</t>
  </si>
  <si>
    <t>Malignant neoplasm of colon, unspecified</t>
  </si>
  <si>
    <t>Used for oncology infusion and genetic panel scenario</t>
  </si>
  <si>
    <t>Established patient office visit</t>
  </si>
  <si>
    <t>Procedure code</t>
  </si>
  <si>
    <t>Descriptor shortened for synthetic demo; CPT ownership/licensing should be validated for production</t>
  </si>
  <si>
    <t>AMA CPT / payer code library</t>
  </si>
  <si>
    <t>Established patient office visit, higher complexity</t>
  </si>
  <si>
    <t>Electrocardiogram</t>
  </si>
  <si>
    <t>Illustrative procedure code</t>
  </si>
  <si>
    <t>Destruction of benign lesions</t>
  </si>
  <si>
    <t>Used for modifier 25 scenario</t>
  </si>
  <si>
    <t>Therapeutic exercises</t>
  </si>
  <si>
    <t>Used for MUE scenario</t>
  </si>
  <si>
    <t>Therapeutic activities</t>
  </si>
  <si>
    <t>MRI lumbar spine without contrast</t>
  </si>
  <si>
    <t>Used for medical necessity scenario</t>
  </si>
  <si>
    <t>Illustrative ceftriaxone injection billing code</t>
  </si>
  <si>
    <t>Drug/supply code</t>
  </si>
  <si>
    <t>Used for inpatient antibiotic support</t>
  </si>
  <si>
    <t>https://www.cms.gov/medicare/coding-billing/healthcare-common-procedure-system</t>
  </si>
  <si>
    <t>Illustrative non-emergency ambulance transport</t>
  </si>
  <si>
    <t>Transport code</t>
  </si>
  <si>
    <t>Used for SNF transition attachment scenario</t>
  </si>
  <si>
    <t>Septicemia or severe sepsis without MV &gt;96 hours with MCC</t>
  </si>
  <si>
    <t>Payment grouping</t>
  </si>
  <si>
    <t>Illustrative DRG label</t>
  </si>
  <si>
    <t>CMS MS-DRG reference / payer grouper</t>
  </si>
  <si>
    <t>Acute myocardial infarction, discharged alive with MCC</t>
  </si>
  <si>
    <t>CARC</t>
  </si>
  <si>
    <t>16</t>
  </si>
  <si>
    <t>Claim/service lacks information or has submission/billing error</t>
  </si>
  <si>
    <t>Denial/adjustment code</t>
  </si>
  <si>
    <t>Used for missing modifier or attachment issue</t>
  </si>
  <si>
    <t>https://www.cms.gov/medicare/coding-billing/electronic-billing/health-care-payment-remittance-advice</t>
  </si>
  <si>
    <t>50</t>
  </si>
  <si>
    <t>Not medically necessary</t>
  </si>
  <si>
    <t>Used for medical necessity denial simulation</t>
  </si>
  <si>
    <t>96</t>
  </si>
  <si>
    <t>Non-covered charge</t>
  </si>
  <si>
    <t>Used for coverage/contract failure</t>
  </si>
  <si>
    <t>RARC</t>
  </si>
  <si>
    <t>M127</t>
  </si>
  <si>
    <t>Missing patient medical record for this service</t>
  </si>
  <si>
    <t>Remark code</t>
  </si>
  <si>
    <t>Used for attachment gap simulation</t>
  </si>
  <si>
    <t>FHIR</t>
  </si>
  <si>
    <t>Claim</t>
  </si>
  <si>
    <t>FHIR Claim resource</t>
  </si>
  <si>
    <t>Interoperability concept</t>
  </si>
  <si>
    <t>Canonical claim object</t>
  </si>
  <si>
    <t>https://hl7.org/fhir/claim.html</t>
  </si>
  <si>
    <t>AuditEvent</t>
  </si>
  <si>
    <t>FHIR AuditEvent resource</t>
  </si>
  <si>
    <t>Decision and access audit event</t>
  </si>
  <si>
    <t>https://hl7.org/fhir/auditevent.html</t>
  </si>
  <si>
    <t>Provenance</t>
  </si>
  <si>
    <t>FHIR Provenance resource</t>
  </si>
  <si>
    <t>Source lineage concept</t>
  </si>
  <si>
    <t>https://hl7.org/fhir/provenance.html</t>
  </si>
  <si>
    <t>Reference Area</t>
  </si>
  <si>
    <t>Workbook Usage</t>
  </si>
  <si>
    <t>Official/Public Source</t>
  </si>
  <si>
    <t>Professional/non-institutional claim class examples</t>
  </si>
  <si>
    <t>https://www.cms.gov/medicare/coding-billing/electronic-billing/professional-paper-claim-form</t>
  </si>
  <si>
    <t>CMS-1450 / UB-04</t>
  </si>
  <si>
    <t>Institutional/facility claim class examples</t>
  </si>
  <si>
    <t>https://www.cms.gov/medicare/coding-billing/electronic-billing/institutional-paper-claim-form</t>
  </si>
  <si>
    <t>NCCI/MUE</t>
  </si>
  <si>
    <t>Illustrative edit scenarios and MUE failure workflow</t>
  </si>
  <si>
    <t>https://www.cms.gov/medicare/coding-billing/national-correct-coding-initiative-ncci-edits/medicare-ncci-medically-unlikely-edits-mues</t>
  </si>
  <si>
    <t>ICD-10</t>
  </si>
  <si>
    <t>Diagnosis code representation</t>
  </si>
  <si>
    <t>HCPCS Level II</t>
  </si>
  <si>
    <t>HCPCS representation</t>
  </si>
  <si>
    <t>Health Care Payment and Remittance Advice</t>
  </si>
  <si>
    <t>CARC/RARC style denial and adjustment mapping</t>
  </si>
  <si>
    <t>NPPES</t>
  </si>
  <si>
    <t>Provider identity / NPI concept</t>
  </si>
  <si>
    <t>https://npiregistry.cms.hhs.gov/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</si>
</sst>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"/>
  </numFmts>
  <fonts count="3">
    <font>
      <sz val="11"/>
      <name val="Carlito"/>
    </font>
    <font>
      <b/>
      <sz val="10"/>
      <color rgb="FFFFFFFF"/>
      <name val="Aptos"/>
      <family val="2"/>
    </font>
    <font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EEF3F7"/>
      </right>
      <top/>
      <bottom style="thin">
        <color rgb="FFE6EEF5"/>
      </bottom>
      <diagonal/>
    </border>
    <border>
      <left style="thin">
        <color rgb="FFEEF3F7"/>
      </left>
      <right/>
      <top/>
      <bottom style="thin">
        <color rgb="FFE6EEF5"/>
      </bottom>
      <diagonal/>
    </border>
    <border>
      <left style="thin">
        <color rgb="FFB7C9D6"/>
      </left>
      <right style="thin">
        <color rgb="FFEEF3F7"/>
      </right>
      <top style="thin">
        <color rgb="FFE6EEF5"/>
      </top>
      <bottom style="thin">
        <color rgb="FFE6EEF5"/>
      </bottom>
      <diagonal/>
    </border>
    <border>
      <left style="thin">
        <color rgb="FFEEF3F7"/>
      </left>
      <right/>
      <top style="thin">
        <color rgb="FFE6EEF5"/>
      </top>
      <bottom style="thin">
        <color rgb="FFE6EEF5"/>
      </bottom>
      <diagonal/>
    </border>
    <border>
      <left style="thin">
        <color rgb="FFB7C9D6"/>
      </left>
      <right style="thin">
        <color rgb="FFEEF3F7"/>
      </right>
      <top style="thin">
        <color rgb="FFE6EEF5"/>
      </top>
      <bottom/>
      <diagonal/>
    </border>
    <border>
      <left style="thin">
        <color rgb="FFEEF3F7"/>
      </left>
      <right/>
      <top style="thin">
        <color rgb="FFE6EEF5"/>
      </top>
      <bottom/>
      <diagonal/>
    </border>
    <border>
      <left style="thin">
        <color rgb="FFEEF3F7"/>
      </left>
      <right style="thin">
        <color rgb="FFEEF3F7"/>
      </right>
      <top/>
      <bottom style="thin">
        <color rgb="FFE6EEF5"/>
      </bottom>
      <diagonal/>
    </border>
    <border>
      <left style="thin">
        <color rgb="FFEEF3F7"/>
      </left>
      <right style="thin">
        <color rgb="FFEEF3F7"/>
      </right>
      <top style="thin">
        <color rgb="FFE6EEF5"/>
      </top>
      <bottom style="thin">
        <color rgb="FFE6EEF5"/>
      </bottom>
      <diagonal/>
    </border>
    <border>
      <left style="thin">
        <color rgb="FFEEF3F7"/>
      </left>
      <right style="thin">
        <color rgb="FFEEF3F7"/>
      </right>
      <top style="thin">
        <color rgb="FFE6EEF5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164" fontId="2" fillId="0" borderId="8" xfId="0" applyNumberFormat="1" applyFont="1" applyBorder="1" applyAlignment="1">
      <alignment wrapText="1"/>
    </xf>
    <xf numFmtId="164" fontId="2" fillId="0" borderId="9" xfId="0" applyNumberFormat="1" applyFont="1" applyBorder="1" applyAlignment="1">
      <alignment wrapText="1"/>
    </xf>
    <xf numFmtId="164" fontId="2" fillId="0" borderId="10" xfId="0" applyNumberFormat="1" applyFont="1" applyBorder="1" applyAlignment="1">
      <alignment wrapText="1"/>
    </xf>
    <xf numFmtId="165" fontId="2" fillId="0" borderId="8" xfId="0" applyNumberFormat="1" applyFont="1" applyBorder="1" applyAlignment="1">
      <alignment wrapText="1"/>
    </xf>
    <xf numFmtId="165" fontId="2" fillId="0" borderId="9" xfId="0" applyNumberFormat="1" applyFont="1" applyBorder="1" applyAlignment="1">
      <alignment wrapText="1"/>
    </xf>
    <xf numFmtId="165" fontId="2" fillId="0" borderId="10" xfId="0" applyNumberFormat="1" applyFont="1" applyBorder="1" applyAlignment="1">
      <alignment wrapText="1"/>
    </xf>
  </cellXfs>
  <cellStyles count="1">
    <cellStyle name="Normal" xfId="0" builtinId="0"/>
  </cellStyles>
  <dxfs count="5">
    <dxf>
      <font>
        <b/>
        <color rgb="FF7F6000"/>
      </font>
    </dxf>
    <dxf>
      <font>
        <b/>
        <color rgb="FF990000"/>
      </font>
    </dxf>
    <dxf>
      <font>
        <color rgb="FF9E480E"/>
      </font>
    </dxf>
    <dxf>
      <font>
        <color rgb="FF375623"/>
      </font>
    </dxf>
    <dxf>
      <font>
        <b/>
        <color rgb="FF99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tabSelected="1" workbookViewId="0">
      <selection activeCell="A3" sqref="A3"/>
    </sheetView>
  </sheetViews>
  <sheetFormatPr defaultRowHeight="13.8"/>
  <cols>
    <col min="1" max="1" width="15" customWidth="1"/>
    <col min="2" max="2" width="48" customWidth="1"/>
  </cols>
  <sheetData>
    <row r="1" spans="1:2" ht="14.4">
      <c r="A1" s="1" t="s">
        <v>0</v>
      </c>
      <c r="B1" s="1" t="s">
        <v>1</v>
      </c>
    </row>
    <row r="2" spans="1:2" ht="27.6">
      <c r="A2" s="2" t="s">
        <v>2</v>
      </c>
      <c r="B2" s="3" t="s">
        <v>3</v>
      </c>
    </row>
    <row r="3" spans="1:2" ht="41.4">
      <c r="A3" s="4" t="s">
        <v>4</v>
      </c>
      <c r="B3" s="5" t="s">
        <v>5</v>
      </c>
    </row>
    <row r="4" spans="1:2" ht="14.4">
      <c r="A4" s="4" t="s">
        <v>6</v>
      </c>
      <c r="B4" s="5">
        <f>COUNTA('Scenario Catalog'!A2:A100)</f>
        <v>12</v>
      </c>
    </row>
    <row r="5" spans="1:2" ht="14.4">
      <c r="A5" s="4" t="s">
        <v>7</v>
      </c>
      <c r="B5" s="5">
        <f>COUNTA(Providers!A2:A100)</f>
        <v>6</v>
      </c>
    </row>
    <row r="6" spans="1:2" ht="14.4">
      <c r="A6" s="4" t="s">
        <v>8</v>
      </c>
      <c r="B6" s="5">
        <f>COUNTA(Patients!A2:A100)</f>
        <v>12</v>
      </c>
    </row>
    <row r="7" spans="1:2" ht="14.4">
      <c r="A7" s="4" t="s">
        <v>9</v>
      </c>
      <c r="B7" s="5">
        <f>COUNTA('Claims Header'!A2:A100)</f>
        <v>12</v>
      </c>
    </row>
    <row r="8" spans="1:2" ht="14.4">
      <c r="A8" s="4" t="s">
        <v>10</v>
      </c>
      <c r="B8" s="5">
        <f>COUNTA('Claim Lines'!A2:A200)</f>
        <v>23</v>
      </c>
    </row>
    <row r="9" spans="1:2" ht="55.2">
      <c r="A9" s="4" t="s">
        <v>11</v>
      </c>
      <c r="B9" s="5" t="s">
        <v>12</v>
      </c>
    </row>
    <row r="10" spans="1:2" ht="165.6">
      <c r="A10" s="6" t="s">
        <v>13</v>
      </c>
      <c r="B10" s="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workbookViewId="0"/>
  </sheetViews>
  <sheetFormatPr defaultRowHeight="13.8"/>
  <cols>
    <col min="1" max="1" width="38" customWidth="1"/>
    <col min="2" max="2" width="25" customWidth="1"/>
    <col min="3" max="4" width="18" customWidth="1"/>
    <col min="5" max="5" width="20" customWidth="1"/>
    <col min="6" max="6" width="25" customWidth="1"/>
  </cols>
  <sheetData>
    <row r="1" spans="1:6" ht="15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ht="15" customHeight="1">
      <c r="A2" s="2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3" t="s">
        <v>26</v>
      </c>
    </row>
    <row r="3" spans="1:6" ht="15" customHeight="1">
      <c r="A3" s="4" t="s">
        <v>27</v>
      </c>
      <c r="B3" s="9" t="s">
        <v>28</v>
      </c>
      <c r="C3" s="9" t="s">
        <v>29</v>
      </c>
      <c r="D3" s="9" t="s">
        <v>30</v>
      </c>
      <c r="E3" s="9" t="s">
        <v>31</v>
      </c>
      <c r="F3" s="5" t="s">
        <v>32</v>
      </c>
    </row>
    <row r="4" spans="1:6" ht="15" customHeight="1">
      <c r="A4" s="4" t="s">
        <v>33</v>
      </c>
      <c r="B4" s="9" t="s">
        <v>28</v>
      </c>
      <c r="C4" s="9" t="s">
        <v>34</v>
      </c>
      <c r="D4" s="9" t="s">
        <v>35</v>
      </c>
      <c r="E4" s="9" t="s">
        <v>36</v>
      </c>
      <c r="F4" s="5" t="s">
        <v>37</v>
      </c>
    </row>
    <row r="5" spans="1:6" ht="15" customHeight="1">
      <c r="A5" s="4" t="s">
        <v>38</v>
      </c>
      <c r="B5" s="9" t="s">
        <v>39</v>
      </c>
      <c r="C5" s="9" t="s">
        <v>40</v>
      </c>
      <c r="D5" s="9" t="s">
        <v>41</v>
      </c>
      <c r="E5" s="9" t="s">
        <v>42</v>
      </c>
      <c r="F5" s="5" t="s">
        <v>43</v>
      </c>
    </row>
    <row r="6" spans="1:6" ht="15" customHeight="1">
      <c r="A6" s="4" t="s">
        <v>44</v>
      </c>
      <c r="B6" s="9" t="s">
        <v>45</v>
      </c>
      <c r="C6" s="9" t="s">
        <v>46</v>
      </c>
      <c r="D6" s="9" t="s">
        <v>47</v>
      </c>
      <c r="E6" s="9" t="s">
        <v>48</v>
      </c>
      <c r="F6" s="5" t="s">
        <v>49</v>
      </c>
    </row>
    <row r="7" spans="1:6" ht="15" customHeight="1">
      <c r="A7" s="4" t="s">
        <v>50</v>
      </c>
      <c r="B7" s="9" t="s">
        <v>45</v>
      </c>
      <c r="C7" s="9" t="s">
        <v>51</v>
      </c>
      <c r="D7" s="9" t="s">
        <v>52</v>
      </c>
      <c r="E7" s="9" t="s">
        <v>53</v>
      </c>
      <c r="F7" s="5" t="s">
        <v>54</v>
      </c>
    </row>
    <row r="8" spans="1:6" ht="15" customHeight="1">
      <c r="A8" s="4" t="s">
        <v>55</v>
      </c>
      <c r="B8" s="9" t="s">
        <v>56</v>
      </c>
      <c r="C8" s="9" t="s">
        <v>57</v>
      </c>
      <c r="D8" s="9" t="s">
        <v>58</v>
      </c>
      <c r="E8" s="9" t="s">
        <v>59</v>
      </c>
      <c r="F8" s="5" t="s">
        <v>60</v>
      </c>
    </row>
    <row r="9" spans="1:6" ht="24" customHeight="1">
      <c r="A9" s="4" t="s">
        <v>61</v>
      </c>
      <c r="B9" s="9" t="s">
        <v>22</v>
      </c>
      <c r="C9" s="9" t="s">
        <v>62</v>
      </c>
      <c r="D9" s="9" t="s">
        <v>63</v>
      </c>
      <c r="E9" s="9" t="s">
        <v>25</v>
      </c>
      <c r="F9" s="5" t="s">
        <v>64</v>
      </c>
    </row>
    <row r="10" spans="1:6" ht="24" customHeight="1">
      <c r="A10" s="4" t="s">
        <v>65</v>
      </c>
      <c r="B10" s="9" t="s">
        <v>66</v>
      </c>
      <c r="C10" s="9" t="s">
        <v>67</v>
      </c>
      <c r="D10" s="9" t="s">
        <v>68</v>
      </c>
      <c r="E10" s="9" t="s">
        <v>69</v>
      </c>
      <c r="F10" s="5" t="s">
        <v>70</v>
      </c>
    </row>
    <row r="11" spans="1:6" ht="15" customHeight="1">
      <c r="A11" s="4" t="s">
        <v>71</v>
      </c>
      <c r="B11" s="9" t="s">
        <v>72</v>
      </c>
      <c r="C11" s="9" t="s">
        <v>73</v>
      </c>
      <c r="D11" s="9" t="s">
        <v>74</v>
      </c>
      <c r="E11" s="9" t="s">
        <v>75</v>
      </c>
      <c r="F11" s="5" t="s">
        <v>76</v>
      </c>
    </row>
    <row r="12" spans="1:6" ht="15" customHeight="1">
      <c r="A12" s="4" t="s">
        <v>77</v>
      </c>
      <c r="B12" s="9" t="s">
        <v>56</v>
      </c>
      <c r="C12" s="9" t="s">
        <v>78</v>
      </c>
      <c r="D12" s="9" t="s">
        <v>79</v>
      </c>
      <c r="E12" s="9" t="s">
        <v>80</v>
      </c>
      <c r="F12" s="5" t="s">
        <v>81</v>
      </c>
    </row>
    <row r="13" spans="1:6" ht="24" customHeight="1">
      <c r="A13" s="6" t="s">
        <v>82</v>
      </c>
      <c r="B13" s="10" t="s">
        <v>45</v>
      </c>
      <c r="C13" s="10" t="s">
        <v>83</v>
      </c>
      <c r="D13" s="10" t="s">
        <v>84</v>
      </c>
      <c r="E13" s="10" t="s">
        <v>85</v>
      </c>
      <c r="F13" s="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showGridLines="0" workbookViewId="0"/>
  </sheetViews>
  <sheetFormatPr defaultRowHeight="13.8"/>
  <cols>
    <col min="1" max="2" width="18" customWidth="1"/>
    <col min="3" max="3" width="34" customWidth="1"/>
    <col min="4" max="6" width="15" customWidth="1"/>
    <col min="7" max="7" width="27" customWidth="1"/>
    <col min="8" max="8" width="18" customWidth="1"/>
    <col min="9" max="9" width="25" customWidth="1"/>
    <col min="10" max="10" width="15" customWidth="1"/>
    <col min="11" max="11" width="23" customWidth="1"/>
    <col min="12" max="12" width="48" customWidth="1"/>
  </cols>
  <sheetData>
    <row r="1" spans="1:12" ht="15" customHeight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</row>
    <row r="2" spans="1:12" ht="15" customHeight="1">
      <c r="A2" s="2" t="s">
        <v>98</v>
      </c>
      <c r="B2" s="8" t="s">
        <v>99</v>
      </c>
      <c r="C2" s="8" t="s">
        <v>100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108</v>
      </c>
      <c r="L2" s="3" t="s">
        <v>109</v>
      </c>
    </row>
    <row r="3" spans="1:12" ht="15" customHeight="1">
      <c r="A3" s="4" t="s">
        <v>110</v>
      </c>
      <c r="B3" s="9" t="s">
        <v>111</v>
      </c>
      <c r="C3" s="9" t="s">
        <v>112</v>
      </c>
      <c r="D3" s="9" t="s">
        <v>113</v>
      </c>
      <c r="E3" s="9" t="s">
        <v>114</v>
      </c>
      <c r="F3" s="9" t="s">
        <v>115</v>
      </c>
      <c r="G3" s="9" t="s">
        <v>116</v>
      </c>
      <c r="H3" s="9" t="s">
        <v>105</v>
      </c>
      <c r="I3" s="9" t="s">
        <v>117</v>
      </c>
      <c r="J3" s="9" t="s">
        <v>118</v>
      </c>
      <c r="K3" s="9" t="s">
        <v>119</v>
      </c>
      <c r="L3" s="5" t="s">
        <v>120</v>
      </c>
    </row>
    <row r="4" spans="1:12" ht="15" customHeight="1">
      <c r="A4" s="4" t="s">
        <v>121</v>
      </c>
      <c r="B4" s="9" t="s">
        <v>111</v>
      </c>
      <c r="C4" s="9" t="s">
        <v>122</v>
      </c>
      <c r="D4" s="9" t="s">
        <v>123</v>
      </c>
      <c r="E4" s="9" t="s">
        <v>124</v>
      </c>
      <c r="F4" s="9" t="s">
        <v>125</v>
      </c>
      <c r="G4" s="9" t="s">
        <v>126</v>
      </c>
      <c r="H4" s="9" t="s">
        <v>105</v>
      </c>
      <c r="I4" s="9" t="s">
        <v>117</v>
      </c>
      <c r="J4" s="9" t="s">
        <v>118</v>
      </c>
      <c r="K4" s="9" t="s">
        <v>127</v>
      </c>
      <c r="L4" s="5" t="s">
        <v>128</v>
      </c>
    </row>
    <row r="5" spans="1:12" ht="15" customHeight="1">
      <c r="A5" s="4" t="s">
        <v>129</v>
      </c>
      <c r="B5" s="9" t="s">
        <v>99</v>
      </c>
      <c r="C5" s="9" t="s">
        <v>130</v>
      </c>
      <c r="D5" s="9" t="s">
        <v>131</v>
      </c>
      <c r="E5" s="9" t="s">
        <v>132</v>
      </c>
      <c r="F5" s="9" t="s">
        <v>133</v>
      </c>
      <c r="G5" s="9" t="s">
        <v>134</v>
      </c>
      <c r="H5" s="9" t="s">
        <v>105</v>
      </c>
      <c r="I5" s="9" t="s">
        <v>106</v>
      </c>
      <c r="J5" s="9" t="s">
        <v>107</v>
      </c>
      <c r="K5" s="9" t="s">
        <v>119</v>
      </c>
      <c r="L5" s="5" t="s">
        <v>135</v>
      </c>
    </row>
    <row r="6" spans="1:12" ht="15" customHeight="1">
      <c r="A6" s="4" t="s">
        <v>136</v>
      </c>
      <c r="B6" s="9" t="s">
        <v>111</v>
      </c>
      <c r="C6" s="9" t="s">
        <v>137</v>
      </c>
      <c r="D6" s="9" t="s">
        <v>138</v>
      </c>
      <c r="E6" s="9" t="s">
        <v>139</v>
      </c>
      <c r="F6" s="9" t="s">
        <v>140</v>
      </c>
      <c r="G6" s="9" t="s">
        <v>141</v>
      </c>
      <c r="H6" s="9" t="s">
        <v>142</v>
      </c>
      <c r="I6" s="9" t="s">
        <v>117</v>
      </c>
      <c r="J6" s="9" t="s">
        <v>118</v>
      </c>
      <c r="K6" s="9" t="s">
        <v>108</v>
      </c>
      <c r="L6" s="5" t="s">
        <v>143</v>
      </c>
    </row>
    <row r="7" spans="1:12" ht="15" customHeight="1">
      <c r="A7" s="6" t="s">
        <v>144</v>
      </c>
      <c r="B7" s="10" t="s">
        <v>99</v>
      </c>
      <c r="C7" s="10" t="s">
        <v>145</v>
      </c>
      <c r="D7" s="10" t="s">
        <v>146</v>
      </c>
      <c r="E7" s="10" t="s">
        <v>147</v>
      </c>
      <c r="F7" s="10" t="s">
        <v>148</v>
      </c>
      <c r="G7" s="10" t="s">
        <v>149</v>
      </c>
      <c r="H7" s="10" t="s">
        <v>105</v>
      </c>
      <c r="I7" s="10" t="s">
        <v>106</v>
      </c>
      <c r="J7" s="10" t="s">
        <v>107</v>
      </c>
      <c r="K7" s="10" t="s">
        <v>127</v>
      </c>
      <c r="L7" s="7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showGridLines="0" workbookViewId="0"/>
  </sheetViews>
  <sheetFormatPr defaultRowHeight="13.8"/>
  <cols>
    <col min="1" max="1" width="18" customWidth="1"/>
    <col min="2" max="2" width="24" customWidth="1"/>
    <col min="3" max="3" width="34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9" width="48" customWidth="1"/>
    <col min="10" max="10" width="28" customWidth="1"/>
  </cols>
  <sheetData>
    <row r="1" spans="1:10" ht="15" customHeight="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 ht="15" customHeight="1">
      <c r="A2" s="2" t="s">
        <v>161</v>
      </c>
      <c r="B2" s="8" t="s">
        <v>162</v>
      </c>
      <c r="C2" s="8" t="s">
        <v>163</v>
      </c>
      <c r="D2" s="8" t="s">
        <v>164</v>
      </c>
      <c r="E2" s="8">
        <v>58</v>
      </c>
      <c r="F2" s="8" t="s">
        <v>165</v>
      </c>
      <c r="G2" s="8" t="s">
        <v>166</v>
      </c>
      <c r="H2" s="8" t="s">
        <v>167</v>
      </c>
      <c r="I2" s="8" t="s">
        <v>168</v>
      </c>
      <c r="J2" s="3" t="s">
        <v>169</v>
      </c>
    </row>
    <row r="3" spans="1:10" ht="15" customHeight="1">
      <c r="A3" s="4" t="s">
        <v>170</v>
      </c>
      <c r="B3" s="9" t="s">
        <v>171</v>
      </c>
      <c r="C3" s="9" t="s">
        <v>172</v>
      </c>
      <c r="D3" s="9" t="s">
        <v>173</v>
      </c>
      <c r="E3" s="9">
        <v>67</v>
      </c>
      <c r="F3" s="9" t="s">
        <v>174</v>
      </c>
      <c r="G3" s="9" t="s">
        <v>175</v>
      </c>
      <c r="H3" s="9" t="s">
        <v>167</v>
      </c>
      <c r="I3" s="9" t="s">
        <v>176</v>
      </c>
      <c r="J3" s="5" t="s">
        <v>177</v>
      </c>
    </row>
    <row r="4" spans="1:10" ht="15" customHeight="1">
      <c r="A4" s="4" t="s">
        <v>178</v>
      </c>
      <c r="B4" s="9" t="s">
        <v>179</v>
      </c>
      <c r="C4" s="9" t="s">
        <v>180</v>
      </c>
      <c r="D4" s="9" t="s">
        <v>164</v>
      </c>
      <c r="E4" s="9">
        <v>44</v>
      </c>
      <c r="F4" s="9" t="s">
        <v>181</v>
      </c>
      <c r="G4" s="9" t="s">
        <v>182</v>
      </c>
      <c r="H4" s="9" t="s">
        <v>167</v>
      </c>
      <c r="I4" s="9" t="s">
        <v>183</v>
      </c>
      <c r="J4" s="5" t="s">
        <v>184</v>
      </c>
    </row>
    <row r="5" spans="1:10" ht="15" customHeight="1">
      <c r="A5" s="4" t="s">
        <v>185</v>
      </c>
      <c r="B5" s="9" t="s">
        <v>186</v>
      </c>
      <c r="C5" s="9" t="s">
        <v>187</v>
      </c>
      <c r="D5" s="9" t="s">
        <v>173</v>
      </c>
      <c r="E5" s="9">
        <v>72</v>
      </c>
      <c r="F5" s="9" t="s">
        <v>188</v>
      </c>
      <c r="G5" s="9" t="s">
        <v>189</v>
      </c>
      <c r="H5" s="9" t="s">
        <v>167</v>
      </c>
      <c r="I5" s="9" t="s">
        <v>190</v>
      </c>
      <c r="J5" s="5" t="s">
        <v>191</v>
      </c>
    </row>
    <row r="6" spans="1:10" ht="15" customHeight="1">
      <c r="A6" s="4" t="s">
        <v>192</v>
      </c>
      <c r="B6" s="9" t="s">
        <v>193</v>
      </c>
      <c r="C6" s="9" t="s">
        <v>194</v>
      </c>
      <c r="D6" s="9" t="s">
        <v>164</v>
      </c>
      <c r="E6" s="9">
        <v>61</v>
      </c>
      <c r="F6" s="9" t="s">
        <v>195</v>
      </c>
      <c r="G6" s="9" t="s">
        <v>175</v>
      </c>
      <c r="H6" s="9" t="s">
        <v>167</v>
      </c>
      <c r="I6" s="9" t="s">
        <v>196</v>
      </c>
      <c r="J6" s="5" t="s">
        <v>197</v>
      </c>
    </row>
    <row r="7" spans="1:10" ht="15" customHeight="1">
      <c r="A7" s="4" t="s">
        <v>198</v>
      </c>
      <c r="B7" s="9" t="s">
        <v>199</v>
      </c>
      <c r="C7" s="9" t="s">
        <v>200</v>
      </c>
      <c r="D7" s="9" t="s">
        <v>173</v>
      </c>
      <c r="E7" s="9">
        <v>54</v>
      </c>
      <c r="F7" s="9" t="s">
        <v>201</v>
      </c>
      <c r="G7" s="9" t="s">
        <v>202</v>
      </c>
      <c r="H7" s="9" t="s">
        <v>167</v>
      </c>
      <c r="I7" s="9" t="s">
        <v>203</v>
      </c>
      <c r="J7" s="5" t="s">
        <v>204</v>
      </c>
    </row>
    <row r="8" spans="1:10" ht="15" customHeight="1">
      <c r="A8" s="4" t="s">
        <v>205</v>
      </c>
      <c r="B8" s="9" t="s">
        <v>206</v>
      </c>
      <c r="C8" s="9" t="s">
        <v>207</v>
      </c>
      <c r="D8" s="9" t="s">
        <v>164</v>
      </c>
      <c r="E8" s="9">
        <v>38</v>
      </c>
      <c r="F8" s="9" t="s">
        <v>208</v>
      </c>
      <c r="G8" s="9" t="s">
        <v>209</v>
      </c>
      <c r="H8" s="9" t="s">
        <v>167</v>
      </c>
      <c r="I8" s="9" t="s">
        <v>210</v>
      </c>
      <c r="J8" s="5" t="s">
        <v>211</v>
      </c>
    </row>
    <row r="9" spans="1:10" ht="15" customHeight="1">
      <c r="A9" s="4" t="s">
        <v>212</v>
      </c>
      <c r="B9" s="9" t="s">
        <v>213</v>
      </c>
      <c r="C9" s="9" t="s">
        <v>214</v>
      </c>
      <c r="D9" s="9" t="s">
        <v>173</v>
      </c>
      <c r="E9" s="9">
        <v>69</v>
      </c>
      <c r="F9" s="9" t="s">
        <v>215</v>
      </c>
      <c r="G9" s="9" t="s">
        <v>166</v>
      </c>
      <c r="H9" s="9" t="s">
        <v>167</v>
      </c>
      <c r="I9" s="9" t="s">
        <v>216</v>
      </c>
      <c r="J9" s="5" t="s">
        <v>217</v>
      </c>
    </row>
    <row r="10" spans="1:10" ht="15" customHeight="1">
      <c r="A10" s="4" t="s">
        <v>218</v>
      </c>
      <c r="B10" s="9" t="s">
        <v>219</v>
      </c>
      <c r="C10" s="9" t="s">
        <v>220</v>
      </c>
      <c r="D10" s="9" t="s">
        <v>164</v>
      </c>
      <c r="E10" s="9">
        <v>32</v>
      </c>
      <c r="F10" s="9" t="s">
        <v>221</v>
      </c>
      <c r="G10" s="9" t="s">
        <v>182</v>
      </c>
      <c r="H10" s="9" t="s">
        <v>222</v>
      </c>
      <c r="I10" s="9" t="s">
        <v>223</v>
      </c>
      <c r="J10" s="5" t="s">
        <v>224</v>
      </c>
    </row>
    <row r="11" spans="1:10" ht="15" customHeight="1">
      <c r="A11" s="4" t="s">
        <v>225</v>
      </c>
      <c r="B11" s="9" t="s">
        <v>226</v>
      </c>
      <c r="C11" s="9" t="s">
        <v>227</v>
      </c>
      <c r="D11" s="9" t="s">
        <v>173</v>
      </c>
      <c r="E11" s="9">
        <v>47</v>
      </c>
      <c r="F11" s="9" t="s">
        <v>228</v>
      </c>
      <c r="G11" s="9" t="s">
        <v>182</v>
      </c>
      <c r="H11" s="9" t="s">
        <v>167</v>
      </c>
      <c r="I11" s="9" t="s">
        <v>229</v>
      </c>
      <c r="J11" s="5" t="s">
        <v>230</v>
      </c>
    </row>
    <row r="12" spans="1:10" ht="15" customHeight="1">
      <c r="A12" s="4" t="s">
        <v>231</v>
      </c>
      <c r="B12" s="9" t="s">
        <v>232</v>
      </c>
      <c r="C12" s="9" t="s">
        <v>233</v>
      </c>
      <c r="D12" s="9" t="s">
        <v>164</v>
      </c>
      <c r="E12" s="9">
        <v>75</v>
      </c>
      <c r="F12" s="9" t="s">
        <v>234</v>
      </c>
      <c r="G12" s="9" t="s">
        <v>175</v>
      </c>
      <c r="H12" s="9" t="s">
        <v>167</v>
      </c>
      <c r="I12" s="9" t="s">
        <v>235</v>
      </c>
      <c r="J12" s="5" t="s">
        <v>236</v>
      </c>
    </row>
    <row r="13" spans="1:10" ht="15" customHeight="1">
      <c r="A13" s="6" t="s">
        <v>237</v>
      </c>
      <c r="B13" s="10" t="s">
        <v>238</v>
      </c>
      <c r="C13" s="10" t="s">
        <v>239</v>
      </c>
      <c r="D13" s="10" t="s">
        <v>173</v>
      </c>
      <c r="E13" s="10">
        <v>29</v>
      </c>
      <c r="F13" s="10" t="s">
        <v>240</v>
      </c>
      <c r="G13" s="10" t="s">
        <v>202</v>
      </c>
      <c r="H13" s="10" t="s">
        <v>167</v>
      </c>
      <c r="I13" s="10" t="s">
        <v>241</v>
      </c>
      <c r="J13" s="7" t="s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showGridLines="0" workbookViewId="0"/>
  </sheetViews>
  <sheetFormatPr defaultRowHeight="13.8"/>
  <cols>
    <col min="1" max="2" width="18" customWidth="1"/>
    <col min="3" max="3" width="22" customWidth="1"/>
    <col min="4" max="4" width="18" customWidth="1"/>
    <col min="5" max="5" width="16" customWidth="1"/>
    <col min="6" max="6" width="48" customWidth="1"/>
    <col min="7" max="7" width="27" customWidth="1"/>
    <col min="8" max="8" width="34" customWidth="1"/>
  </cols>
  <sheetData>
    <row r="1" spans="1:8" ht="15" customHeight="1">
      <c r="A1" s="1" t="s">
        <v>156</v>
      </c>
      <c r="B1" s="1" t="s">
        <v>151</v>
      </c>
      <c r="C1" s="1" t="s">
        <v>158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</row>
    <row r="2" spans="1:8" ht="15" customHeight="1">
      <c r="A2" s="2" t="s">
        <v>165</v>
      </c>
      <c r="B2" s="8" t="s">
        <v>161</v>
      </c>
      <c r="C2" s="8" t="s">
        <v>167</v>
      </c>
      <c r="D2" s="11" t="s">
        <v>248</v>
      </c>
      <c r="E2" s="11" t="s">
        <v>249</v>
      </c>
      <c r="F2" s="8" t="s">
        <v>250</v>
      </c>
      <c r="G2" s="8" t="s">
        <v>251</v>
      </c>
      <c r="H2" s="3" t="s">
        <v>252</v>
      </c>
    </row>
    <row r="3" spans="1:8" ht="15" customHeight="1">
      <c r="A3" s="4" t="s">
        <v>174</v>
      </c>
      <c r="B3" s="9" t="s">
        <v>170</v>
      </c>
      <c r="C3" s="9" t="s">
        <v>167</v>
      </c>
      <c r="D3" s="12" t="s">
        <v>248</v>
      </c>
      <c r="E3" s="12" t="s">
        <v>249</v>
      </c>
      <c r="F3" s="9" t="s">
        <v>253</v>
      </c>
      <c r="G3" s="9" t="s">
        <v>254</v>
      </c>
      <c r="H3" s="5" t="s">
        <v>255</v>
      </c>
    </row>
    <row r="4" spans="1:8" ht="15" customHeight="1">
      <c r="A4" s="4" t="s">
        <v>181</v>
      </c>
      <c r="B4" s="9" t="s">
        <v>178</v>
      </c>
      <c r="C4" s="9" t="s">
        <v>167</v>
      </c>
      <c r="D4" s="12" t="s">
        <v>248</v>
      </c>
      <c r="E4" s="12" t="s">
        <v>249</v>
      </c>
      <c r="F4" s="9" t="s">
        <v>256</v>
      </c>
      <c r="G4" s="9" t="s">
        <v>257</v>
      </c>
      <c r="H4" s="5" t="s">
        <v>255</v>
      </c>
    </row>
    <row r="5" spans="1:8" ht="15" customHeight="1">
      <c r="A5" s="4" t="s">
        <v>188</v>
      </c>
      <c r="B5" s="9" t="s">
        <v>185</v>
      </c>
      <c r="C5" s="9" t="s">
        <v>167</v>
      </c>
      <c r="D5" s="12" t="s">
        <v>248</v>
      </c>
      <c r="E5" s="12" t="s">
        <v>249</v>
      </c>
      <c r="F5" s="9" t="s">
        <v>258</v>
      </c>
      <c r="G5" s="9" t="s">
        <v>259</v>
      </c>
      <c r="H5" s="5" t="s">
        <v>260</v>
      </c>
    </row>
    <row r="6" spans="1:8" ht="15" customHeight="1">
      <c r="A6" s="4" t="s">
        <v>221</v>
      </c>
      <c r="B6" s="9" t="s">
        <v>218</v>
      </c>
      <c r="C6" s="9" t="s">
        <v>222</v>
      </c>
      <c r="D6" s="12" t="s">
        <v>261</v>
      </c>
      <c r="E6" s="12" t="s">
        <v>262</v>
      </c>
      <c r="F6" s="9" t="s">
        <v>263</v>
      </c>
      <c r="G6" s="9" t="s">
        <v>264</v>
      </c>
      <c r="H6" s="5" t="s">
        <v>265</v>
      </c>
    </row>
    <row r="7" spans="1:8" ht="15" customHeight="1">
      <c r="A7" s="4" t="s">
        <v>228</v>
      </c>
      <c r="B7" s="9" t="s">
        <v>225</v>
      </c>
      <c r="C7" s="9" t="s">
        <v>167</v>
      </c>
      <c r="D7" s="12" t="s">
        <v>248</v>
      </c>
      <c r="E7" s="12" t="s">
        <v>249</v>
      </c>
      <c r="F7" s="9" t="s">
        <v>266</v>
      </c>
      <c r="G7" s="9" t="s">
        <v>267</v>
      </c>
      <c r="H7" s="5" t="s">
        <v>268</v>
      </c>
    </row>
    <row r="8" spans="1:8" ht="15" customHeight="1">
      <c r="A8" s="4" t="s">
        <v>234</v>
      </c>
      <c r="B8" s="9" t="s">
        <v>231</v>
      </c>
      <c r="C8" s="9" t="s">
        <v>167</v>
      </c>
      <c r="D8" s="12" t="s">
        <v>248</v>
      </c>
      <c r="E8" s="12" t="s">
        <v>249</v>
      </c>
      <c r="F8" s="9" t="s">
        <v>235</v>
      </c>
      <c r="G8" s="9" t="s">
        <v>269</v>
      </c>
      <c r="H8" s="5" t="s">
        <v>270</v>
      </c>
    </row>
    <row r="9" spans="1:8" ht="15" customHeight="1">
      <c r="A9" s="6" t="s">
        <v>240</v>
      </c>
      <c r="B9" s="10" t="s">
        <v>237</v>
      </c>
      <c r="C9" s="10" t="s">
        <v>167</v>
      </c>
      <c r="D9" s="13" t="s">
        <v>248</v>
      </c>
      <c r="E9" s="13" t="s">
        <v>249</v>
      </c>
      <c r="F9" s="10" t="s">
        <v>271</v>
      </c>
      <c r="G9" s="10" t="s">
        <v>272</v>
      </c>
      <c r="H9" s="7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3"/>
  <sheetViews>
    <sheetView showGridLines="0" workbookViewId="0"/>
  </sheetViews>
  <sheetFormatPr defaultRowHeight="13.8"/>
  <cols>
    <col min="1" max="1" width="18" customWidth="1"/>
    <col min="2" max="2" width="38" customWidth="1"/>
    <col min="3" max="5" width="18" customWidth="1"/>
    <col min="6" max="7" width="25" customWidth="1"/>
    <col min="8" max="9" width="15" customWidth="1"/>
    <col min="10" max="10" width="16" customWidth="1"/>
    <col min="11" max="11" width="14" customWidth="1"/>
    <col min="12" max="12" width="19" customWidth="1"/>
    <col min="13" max="13" width="17" customWidth="1"/>
    <col min="14" max="14" width="15" customWidth="1"/>
    <col min="15" max="15" width="48" customWidth="1"/>
  </cols>
  <sheetData>
    <row r="1" spans="1:15" ht="15" customHeight="1">
      <c r="A1" s="1" t="s">
        <v>18</v>
      </c>
      <c r="B1" s="1" t="s">
        <v>15</v>
      </c>
      <c r="C1" s="1" t="s">
        <v>274</v>
      </c>
      <c r="D1" s="1" t="s">
        <v>151</v>
      </c>
      <c r="E1" s="1" t="s">
        <v>86</v>
      </c>
      <c r="F1" s="1" t="s">
        <v>275</v>
      </c>
      <c r="G1" s="1" t="s">
        <v>94</v>
      </c>
      <c r="H1" s="1" t="s">
        <v>95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</row>
    <row r="2" spans="1:15" ht="24" customHeight="1">
      <c r="A2" s="2" t="s">
        <v>24</v>
      </c>
      <c r="B2" s="8" t="s">
        <v>21</v>
      </c>
      <c r="C2" s="11" t="s">
        <v>283</v>
      </c>
      <c r="D2" s="8" t="s">
        <v>170</v>
      </c>
      <c r="E2" s="8" t="s">
        <v>121</v>
      </c>
      <c r="F2" s="8" t="s">
        <v>123</v>
      </c>
      <c r="G2" s="8" t="s">
        <v>117</v>
      </c>
      <c r="H2" s="8" t="s">
        <v>118</v>
      </c>
      <c r="I2" s="8" t="s">
        <v>284</v>
      </c>
      <c r="J2" s="8" t="s">
        <v>285</v>
      </c>
      <c r="K2" s="14">
        <v>420</v>
      </c>
      <c r="L2" s="8" t="s">
        <v>286</v>
      </c>
      <c r="M2" s="8" t="s">
        <v>287</v>
      </c>
      <c r="N2" s="8" t="s">
        <v>127</v>
      </c>
      <c r="O2" s="3" t="s">
        <v>288</v>
      </c>
    </row>
    <row r="3" spans="1:15" ht="15" customHeight="1">
      <c r="A3" s="4" t="s">
        <v>30</v>
      </c>
      <c r="B3" s="9" t="s">
        <v>27</v>
      </c>
      <c r="C3" s="12" t="s">
        <v>289</v>
      </c>
      <c r="D3" s="9" t="s">
        <v>205</v>
      </c>
      <c r="E3" s="9" t="s">
        <v>110</v>
      </c>
      <c r="F3" s="9" t="s">
        <v>113</v>
      </c>
      <c r="G3" s="9" t="s">
        <v>117</v>
      </c>
      <c r="H3" s="9" t="s">
        <v>118</v>
      </c>
      <c r="I3" s="9" t="s">
        <v>284</v>
      </c>
      <c r="J3" s="9" t="s">
        <v>285</v>
      </c>
      <c r="K3" s="15">
        <v>335</v>
      </c>
      <c r="L3" s="9" t="s">
        <v>290</v>
      </c>
      <c r="M3" s="9" t="s">
        <v>291</v>
      </c>
      <c r="N3" s="9" t="s">
        <v>108</v>
      </c>
      <c r="O3" s="5" t="s">
        <v>292</v>
      </c>
    </row>
    <row r="4" spans="1:15" ht="24" customHeight="1">
      <c r="A4" s="4" t="s">
        <v>35</v>
      </c>
      <c r="B4" s="9" t="s">
        <v>33</v>
      </c>
      <c r="C4" s="12" t="s">
        <v>293</v>
      </c>
      <c r="D4" s="9" t="s">
        <v>185</v>
      </c>
      <c r="E4" s="9" t="s">
        <v>129</v>
      </c>
      <c r="F4" s="9" t="s">
        <v>131</v>
      </c>
      <c r="G4" s="9" t="s">
        <v>106</v>
      </c>
      <c r="H4" s="9" t="s">
        <v>107</v>
      </c>
      <c r="I4" s="9" t="s">
        <v>294</v>
      </c>
      <c r="J4" s="9" t="s">
        <v>285</v>
      </c>
      <c r="K4" s="15">
        <v>1850</v>
      </c>
      <c r="L4" s="9" t="s">
        <v>295</v>
      </c>
      <c r="M4" s="9" t="s">
        <v>291</v>
      </c>
      <c r="N4" s="9" t="s">
        <v>119</v>
      </c>
      <c r="O4" s="5" t="s">
        <v>296</v>
      </c>
    </row>
    <row r="5" spans="1:15" ht="24" customHeight="1">
      <c r="A5" s="4" t="s">
        <v>41</v>
      </c>
      <c r="B5" s="9" t="s">
        <v>38</v>
      </c>
      <c r="C5" s="12" t="s">
        <v>297</v>
      </c>
      <c r="D5" s="9" t="s">
        <v>161</v>
      </c>
      <c r="E5" s="9" t="s">
        <v>129</v>
      </c>
      <c r="F5" s="9" t="s">
        <v>131</v>
      </c>
      <c r="G5" s="9" t="s">
        <v>106</v>
      </c>
      <c r="H5" s="9" t="s">
        <v>107</v>
      </c>
      <c r="I5" s="9" t="s">
        <v>294</v>
      </c>
      <c r="J5" s="9" t="s">
        <v>285</v>
      </c>
      <c r="K5" s="15">
        <v>2400</v>
      </c>
      <c r="L5" s="9" t="s">
        <v>298</v>
      </c>
      <c r="M5" s="9" t="s">
        <v>291</v>
      </c>
      <c r="N5" s="9" t="s">
        <v>119</v>
      </c>
      <c r="O5" s="5" t="s">
        <v>299</v>
      </c>
    </row>
    <row r="6" spans="1:15" ht="15" customHeight="1">
      <c r="A6" s="4" t="s">
        <v>47</v>
      </c>
      <c r="B6" s="9" t="s">
        <v>44</v>
      </c>
      <c r="C6" s="12" t="s">
        <v>300</v>
      </c>
      <c r="D6" s="9" t="s">
        <v>178</v>
      </c>
      <c r="E6" s="9" t="s">
        <v>136</v>
      </c>
      <c r="F6" s="9" t="s">
        <v>301</v>
      </c>
      <c r="G6" s="9" t="s">
        <v>117</v>
      </c>
      <c r="H6" s="9" t="s">
        <v>118</v>
      </c>
      <c r="I6" s="9" t="s">
        <v>284</v>
      </c>
      <c r="J6" s="9" t="s">
        <v>285</v>
      </c>
      <c r="K6" s="15">
        <v>925</v>
      </c>
      <c r="L6" s="9" t="s">
        <v>302</v>
      </c>
      <c r="M6" s="9" t="s">
        <v>291</v>
      </c>
      <c r="N6" s="9" t="s">
        <v>108</v>
      </c>
      <c r="O6" s="5" t="s">
        <v>303</v>
      </c>
    </row>
    <row r="7" spans="1:15" ht="15" customHeight="1">
      <c r="A7" s="4" t="s">
        <v>52</v>
      </c>
      <c r="B7" s="9" t="s">
        <v>50</v>
      </c>
      <c r="C7" s="12" t="s">
        <v>304</v>
      </c>
      <c r="D7" s="9" t="s">
        <v>218</v>
      </c>
      <c r="E7" s="9" t="s">
        <v>110</v>
      </c>
      <c r="F7" s="9" t="s">
        <v>113</v>
      </c>
      <c r="G7" s="9" t="s">
        <v>117</v>
      </c>
      <c r="H7" s="9" t="s">
        <v>118</v>
      </c>
      <c r="I7" s="9" t="s">
        <v>284</v>
      </c>
      <c r="J7" s="9" t="s">
        <v>285</v>
      </c>
      <c r="K7" s="15">
        <v>260</v>
      </c>
      <c r="L7" s="9" t="s">
        <v>305</v>
      </c>
      <c r="M7" s="9" t="s">
        <v>291</v>
      </c>
      <c r="N7" s="9" t="s">
        <v>108</v>
      </c>
      <c r="O7" s="5" t="s">
        <v>306</v>
      </c>
    </row>
    <row r="8" spans="1:15" ht="24" customHeight="1">
      <c r="A8" s="4" t="s">
        <v>58</v>
      </c>
      <c r="B8" s="9" t="s">
        <v>55</v>
      </c>
      <c r="C8" s="12" t="s">
        <v>307</v>
      </c>
      <c r="D8" s="9" t="s">
        <v>198</v>
      </c>
      <c r="E8" s="9" t="s">
        <v>98</v>
      </c>
      <c r="F8" s="9" t="s">
        <v>101</v>
      </c>
      <c r="G8" s="9" t="s">
        <v>106</v>
      </c>
      <c r="H8" s="9" t="s">
        <v>107</v>
      </c>
      <c r="I8" s="9" t="s">
        <v>308</v>
      </c>
      <c r="J8" s="9" t="s">
        <v>285</v>
      </c>
      <c r="K8" s="15">
        <v>38200</v>
      </c>
      <c r="L8" s="9" t="s">
        <v>309</v>
      </c>
      <c r="M8" s="9" t="s">
        <v>291</v>
      </c>
      <c r="N8" s="9" t="s">
        <v>119</v>
      </c>
      <c r="O8" s="5" t="s">
        <v>310</v>
      </c>
    </row>
    <row r="9" spans="1:15" ht="15" customHeight="1">
      <c r="A9" s="4" t="s">
        <v>63</v>
      </c>
      <c r="B9" s="9" t="s">
        <v>61</v>
      </c>
      <c r="C9" s="12" t="s">
        <v>311</v>
      </c>
      <c r="D9" s="9" t="s">
        <v>212</v>
      </c>
      <c r="E9" s="9" t="s">
        <v>98</v>
      </c>
      <c r="F9" s="9" t="s">
        <v>101</v>
      </c>
      <c r="G9" s="9" t="s">
        <v>106</v>
      </c>
      <c r="H9" s="9" t="s">
        <v>107</v>
      </c>
      <c r="I9" s="9" t="s">
        <v>308</v>
      </c>
      <c r="J9" s="9" t="s">
        <v>285</v>
      </c>
      <c r="K9" s="15">
        <v>46800</v>
      </c>
      <c r="L9" s="9" t="s">
        <v>312</v>
      </c>
      <c r="M9" s="9" t="s">
        <v>287</v>
      </c>
      <c r="N9" s="9" t="s">
        <v>108</v>
      </c>
      <c r="O9" s="5" t="s">
        <v>313</v>
      </c>
    </row>
    <row r="10" spans="1:15" ht="15" customHeight="1">
      <c r="A10" s="4" t="s">
        <v>68</v>
      </c>
      <c r="B10" s="9" t="s">
        <v>65</v>
      </c>
      <c r="C10" s="12" t="s">
        <v>314</v>
      </c>
      <c r="D10" s="9" t="s">
        <v>205</v>
      </c>
      <c r="E10" s="9" t="s">
        <v>110</v>
      </c>
      <c r="F10" s="9" t="s">
        <v>113</v>
      </c>
      <c r="G10" s="9" t="s">
        <v>117</v>
      </c>
      <c r="H10" s="9" t="s">
        <v>118</v>
      </c>
      <c r="I10" s="9" t="s">
        <v>284</v>
      </c>
      <c r="J10" s="9" t="s">
        <v>285</v>
      </c>
      <c r="K10" s="15">
        <v>310</v>
      </c>
      <c r="L10" s="9" t="s">
        <v>315</v>
      </c>
      <c r="M10" s="9" t="s">
        <v>291</v>
      </c>
      <c r="N10" s="9" t="s">
        <v>108</v>
      </c>
      <c r="O10" s="5" t="s">
        <v>316</v>
      </c>
    </row>
    <row r="11" spans="1:15" ht="24" customHeight="1">
      <c r="A11" s="4" t="s">
        <v>74</v>
      </c>
      <c r="B11" s="9" t="s">
        <v>71</v>
      </c>
      <c r="C11" s="12" t="s">
        <v>317</v>
      </c>
      <c r="D11" s="9" t="s">
        <v>225</v>
      </c>
      <c r="E11" s="9" t="s">
        <v>144</v>
      </c>
      <c r="F11" s="9" t="s">
        <v>146</v>
      </c>
      <c r="G11" s="9" t="s">
        <v>106</v>
      </c>
      <c r="H11" s="9" t="s">
        <v>107</v>
      </c>
      <c r="I11" s="9" t="s">
        <v>294</v>
      </c>
      <c r="J11" s="9" t="s">
        <v>285</v>
      </c>
      <c r="K11" s="15">
        <v>7200</v>
      </c>
      <c r="L11" s="9" t="s">
        <v>318</v>
      </c>
      <c r="M11" s="9" t="s">
        <v>291</v>
      </c>
      <c r="N11" s="9" t="s">
        <v>119</v>
      </c>
      <c r="O11" s="5" t="s">
        <v>319</v>
      </c>
    </row>
    <row r="12" spans="1:15" ht="15" customHeight="1">
      <c r="A12" s="4" t="s">
        <v>79</v>
      </c>
      <c r="B12" s="9" t="s">
        <v>77</v>
      </c>
      <c r="C12" s="12" t="s">
        <v>320</v>
      </c>
      <c r="D12" s="9" t="s">
        <v>231</v>
      </c>
      <c r="E12" s="9" t="s">
        <v>98</v>
      </c>
      <c r="F12" s="9" t="s">
        <v>101</v>
      </c>
      <c r="G12" s="9" t="s">
        <v>106</v>
      </c>
      <c r="H12" s="9" t="s">
        <v>107</v>
      </c>
      <c r="I12" s="9" t="s">
        <v>308</v>
      </c>
      <c r="J12" s="9" t="s">
        <v>285</v>
      </c>
      <c r="K12" s="15">
        <v>15400</v>
      </c>
      <c r="L12" s="9" t="s">
        <v>321</v>
      </c>
      <c r="M12" s="9" t="s">
        <v>291</v>
      </c>
      <c r="N12" s="9" t="s">
        <v>119</v>
      </c>
      <c r="O12" s="5" t="s">
        <v>322</v>
      </c>
    </row>
    <row r="13" spans="1:15" ht="15" customHeight="1">
      <c r="A13" s="6" t="s">
        <v>84</v>
      </c>
      <c r="B13" s="10" t="s">
        <v>82</v>
      </c>
      <c r="C13" s="13" t="s">
        <v>323</v>
      </c>
      <c r="D13" s="10" t="s">
        <v>237</v>
      </c>
      <c r="E13" s="10" t="s">
        <v>136</v>
      </c>
      <c r="F13" s="10" t="s">
        <v>138</v>
      </c>
      <c r="G13" s="10" t="s">
        <v>117</v>
      </c>
      <c r="H13" s="10" t="s">
        <v>118</v>
      </c>
      <c r="I13" s="10" t="s">
        <v>284</v>
      </c>
      <c r="J13" s="10" t="s">
        <v>285</v>
      </c>
      <c r="K13" s="16">
        <v>780</v>
      </c>
      <c r="L13" s="10" t="s">
        <v>305</v>
      </c>
      <c r="M13" s="10" t="s">
        <v>291</v>
      </c>
      <c r="N13" s="10" t="s">
        <v>108</v>
      </c>
      <c r="O13" s="7" t="s">
        <v>324</v>
      </c>
    </row>
  </sheetData>
  <conditionalFormatting sqref="M2:N13">
    <cfRule type="containsText" dxfId="4" priority="1" operator="containsText" text="High"/>
  </conditionalFormatting>
  <dataValidations count="2">
    <dataValidation type="list" sqref="M2:M13" xr:uid="{00000000-0002-0000-0500-000000000000}">
      <formula1>"Yes,No,Conditional"</formula1>
    </dataValidation>
    <dataValidation type="list" sqref="N2:N13" xr:uid="{00000000-0002-0000-0500-000001000000}">
      <formula1>"Low,Medium,High"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showGridLines="0" workbookViewId="0"/>
  </sheetViews>
  <sheetFormatPr defaultRowHeight="13.8"/>
  <cols>
    <col min="1" max="1" width="18" customWidth="1"/>
    <col min="2" max="2" width="14" customWidth="1"/>
    <col min="3" max="3" width="18" customWidth="1"/>
    <col min="4" max="4" width="15" customWidth="1"/>
    <col min="5" max="5" width="21" customWidth="1"/>
    <col min="6" max="6" width="15" customWidth="1"/>
    <col min="7" max="7" width="14" customWidth="1"/>
    <col min="8" max="8" width="20" customWidth="1"/>
    <col min="9" max="9" width="14" customWidth="1"/>
    <col min="10" max="10" width="24" customWidth="1"/>
    <col min="11" max="11" width="48" customWidth="1"/>
  </cols>
  <sheetData>
    <row r="1" spans="1:11" ht="15" customHeight="1">
      <c r="A1" s="1" t="s">
        <v>18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</row>
    <row r="2" spans="1:11" ht="15" customHeight="1">
      <c r="A2" s="2" t="s">
        <v>24</v>
      </c>
      <c r="B2" s="8">
        <v>1</v>
      </c>
      <c r="C2" s="8" t="s">
        <v>335</v>
      </c>
      <c r="D2" s="8" t="s">
        <v>336</v>
      </c>
      <c r="E2" s="8" t="s">
        <v>337</v>
      </c>
      <c r="F2" s="8"/>
      <c r="G2" s="8">
        <v>1</v>
      </c>
      <c r="H2" s="8" t="s">
        <v>338</v>
      </c>
      <c r="I2" s="14">
        <v>220</v>
      </c>
      <c r="J2" s="8" t="s">
        <v>339</v>
      </c>
      <c r="K2" s="3" t="s">
        <v>340</v>
      </c>
    </row>
    <row r="3" spans="1:11" ht="15" customHeight="1">
      <c r="A3" s="4" t="s">
        <v>24</v>
      </c>
      <c r="B3" s="9">
        <v>2</v>
      </c>
      <c r="C3" s="9" t="s">
        <v>341</v>
      </c>
      <c r="D3" s="9" t="s">
        <v>336</v>
      </c>
      <c r="E3" s="9" t="s">
        <v>337</v>
      </c>
      <c r="F3" s="9"/>
      <c r="G3" s="9">
        <v>1</v>
      </c>
      <c r="H3" s="9" t="s">
        <v>338</v>
      </c>
      <c r="I3" s="15">
        <v>200</v>
      </c>
      <c r="J3" s="9" t="s">
        <v>339</v>
      </c>
      <c r="K3" s="5" t="s">
        <v>342</v>
      </c>
    </row>
    <row r="4" spans="1:11" ht="15" customHeight="1">
      <c r="A4" s="4" t="s">
        <v>30</v>
      </c>
      <c r="B4" s="9">
        <v>1</v>
      </c>
      <c r="C4" s="9" t="s">
        <v>264</v>
      </c>
      <c r="D4" s="9" t="s">
        <v>336</v>
      </c>
      <c r="E4" s="9" t="s">
        <v>343</v>
      </c>
      <c r="F4" s="9"/>
      <c r="G4" s="9">
        <v>1</v>
      </c>
      <c r="H4" s="9" t="s">
        <v>338</v>
      </c>
      <c r="I4" s="15">
        <v>165</v>
      </c>
      <c r="J4" s="9" t="s">
        <v>344</v>
      </c>
      <c r="K4" s="5" t="s">
        <v>345</v>
      </c>
    </row>
    <row r="5" spans="1:11" ht="15" customHeight="1">
      <c r="A5" s="4" t="s">
        <v>30</v>
      </c>
      <c r="B5" s="9">
        <v>2</v>
      </c>
      <c r="C5" s="9" t="s">
        <v>346</v>
      </c>
      <c r="D5" s="9" t="s">
        <v>336</v>
      </c>
      <c r="E5" s="9" t="s">
        <v>343</v>
      </c>
      <c r="F5" s="9"/>
      <c r="G5" s="9">
        <v>1</v>
      </c>
      <c r="H5" s="9" t="s">
        <v>338</v>
      </c>
      <c r="I5" s="15">
        <v>170</v>
      </c>
      <c r="J5" s="9" t="s">
        <v>347</v>
      </c>
      <c r="K5" s="5" t="s">
        <v>348</v>
      </c>
    </row>
    <row r="6" spans="1:11" ht="15" customHeight="1">
      <c r="A6" s="4" t="s">
        <v>35</v>
      </c>
      <c r="B6" s="9">
        <v>1</v>
      </c>
      <c r="C6" s="9" t="s">
        <v>349</v>
      </c>
      <c r="D6" s="9" t="s">
        <v>336</v>
      </c>
      <c r="E6" s="9" t="s">
        <v>350</v>
      </c>
      <c r="F6" s="9" t="s">
        <v>351</v>
      </c>
      <c r="G6" s="9">
        <v>8</v>
      </c>
      <c r="H6" s="9" t="s">
        <v>352</v>
      </c>
      <c r="I6" s="15">
        <v>1200</v>
      </c>
      <c r="J6" s="9" t="s">
        <v>353</v>
      </c>
      <c r="K6" s="5" t="s">
        <v>354</v>
      </c>
    </row>
    <row r="7" spans="1:11" ht="15" customHeight="1">
      <c r="A7" s="4" t="s">
        <v>35</v>
      </c>
      <c r="B7" s="9">
        <v>2</v>
      </c>
      <c r="C7" s="9" t="s">
        <v>355</v>
      </c>
      <c r="D7" s="9" t="s">
        <v>336</v>
      </c>
      <c r="E7" s="9" t="s">
        <v>350</v>
      </c>
      <c r="F7" s="9" t="s">
        <v>351</v>
      </c>
      <c r="G7" s="9">
        <v>6</v>
      </c>
      <c r="H7" s="9" t="s">
        <v>352</v>
      </c>
      <c r="I7" s="15">
        <v>650</v>
      </c>
      <c r="J7" s="9" t="s">
        <v>353</v>
      </c>
      <c r="K7" s="5" t="s">
        <v>354</v>
      </c>
    </row>
    <row r="8" spans="1:11" ht="15" customHeight="1">
      <c r="A8" s="4" t="s">
        <v>41</v>
      </c>
      <c r="B8" s="9">
        <v>1</v>
      </c>
      <c r="C8" s="9" t="s">
        <v>251</v>
      </c>
      <c r="D8" s="9" t="s">
        <v>336</v>
      </c>
      <c r="E8" s="9" t="s">
        <v>356</v>
      </c>
      <c r="F8" s="9"/>
      <c r="G8" s="9">
        <v>1</v>
      </c>
      <c r="H8" s="9" t="s">
        <v>352</v>
      </c>
      <c r="I8" s="15">
        <v>2400</v>
      </c>
      <c r="J8" s="9" t="s">
        <v>357</v>
      </c>
      <c r="K8" s="5" t="s">
        <v>358</v>
      </c>
    </row>
    <row r="9" spans="1:11" ht="15" customHeight="1">
      <c r="A9" s="4" t="s">
        <v>47</v>
      </c>
      <c r="B9" s="9">
        <v>1</v>
      </c>
      <c r="C9" s="9" t="s">
        <v>359</v>
      </c>
      <c r="D9" s="9" t="s">
        <v>336</v>
      </c>
      <c r="E9" s="9" t="s">
        <v>360</v>
      </c>
      <c r="F9" s="9"/>
      <c r="G9" s="9">
        <v>1</v>
      </c>
      <c r="H9" s="9" t="s">
        <v>338</v>
      </c>
      <c r="I9" s="15">
        <v>425</v>
      </c>
      <c r="J9" s="9" t="s">
        <v>361</v>
      </c>
      <c r="K9" s="5" t="s">
        <v>362</v>
      </c>
    </row>
    <row r="10" spans="1:11" ht="15" customHeight="1">
      <c r="A10" s="4" t="s">
        <v>47</v>
      </c>
      <c r="B10" s="9">
        <v>2</v>
      </c>
      <c r="C10" s="9" t="s">
        <v>363</v>
      </c>
      <c r="D10" s="9" t="s">
        <v>336</v>
      </c>
      <c r="E10" s="9" t="s">
        <v>360</v>
      </c>
      <c r="F10" s="9" t="s">
        <v>364</v>
      </c>
      <c r="G10" s="9">
        <v>1</v>
      </c>
      <c r="H10" s="9" t="s">
        <v>338</v>
      </c>
      <c r="I10" s="15">
        <v>500</v>
      </c>
      <c r="J10" s="9" t="s">
        <v>347</v>
      </c>
      <c r="K10" s="5" t="s">
        <v>365</v>
      </c>
    </row>
    <row r="11" spans="1:11" ht="15" customHeight="1">
      <c r="A11" s="4" t="s">
        <v>52</v>
      </c>
      <c r="B11" s="9">
        <v>1</v>
      </c>
      <c r="C11" s="9" t="s">
        <v>264</v>
      </c>
      <c r="D11" s="9" t="s">
        <v>336</v>
      </c>
      <c r="E11" s="9" t="s">
        <v>366</v>
      </c>
      <c r="F11" s="9"/>
      <c r="G11" s="9">
        <v>1</v>
      </c>
      <c r="H11" s="9" t="s">
        <v>338</v>
      </c>
      <c r="I11" s="15">
        <v>260</v>
      </c>
      <c r="J11" s="9" t="s">
        <v>367</v>
      </c>
      <c r="K11" s="5" t="s">
        <v>368</v>
      </c>
    </row>
    <row r="12" spans="1:11" ht="15" customHeight="1">
      <c r="A12" s="4" t="s">
        <v>58</v>
      </c>
      <c r="B12" s="9">
        <v>1</v>
      </c>
      <c r="C12" s="9" t="s">
        <v>369</v>
      </c>
      <c r="D12" s="9" t="s">
        <v>370</v>
      </c>
      <c r="E12" s="9" t="s">
        <v>371</v>
      </c>
      <c r="F12" s="9"/>
      <c r="G12" s="9">
        <v>1</v>
      </c>
      <c r="H12" s="9" t="s">
        <v>372</v>
      </c>
      <c r="I12" s="15">
        <v>31500</v>
      </c>
      <c r="J12" s="9" t="s">
        <v>373</v>
      </c>
      <c r="K12" s="5" t="s">
        <v>374</v>
      </c>
    </row>
    <row r="13" spans="1:11" ht="15" customHeight="1">
      <c r="A13" s="4" t="s">
        <v>58</v>
      </c>
      <c r="B13" s="9">
        <v>2</v>
      </c>
      <c r="C13" s="9" t="s">
        <v>375</v>
      </c>
      <c r="D13" s="9" t="s">
        <v>336</v>
      </c>
      <c r="E13" s="9" t="s">
        <v>376</v>
      </c>
      <c r="F13" s="9"/>
      <c r="G13" s="9">
        <v>3</v>
      </c>
      <c r="H13" s="9" t="s">
        <v>372</v>
      </c>
      <c r="I13" s="15">
        <v>900</v>
      </c>
      <c r="J13" s="9" t="s">
        <v>347</v>
      </c>
      <c r="K13" s="5" t="s">
        <v>377</v>
      </c>
    </row>
    <row r="14" spans="1:11" ht="15" customHeight="1">
      <c r="A14" s="4" t="s">
        <v>58</v>
      </c>
      <c r="B14" s="9">
        <v>3</v>
      </c>
      <c r="C14" s="9" t="s">
        <v>378</v>
      </c>
      <c r="D14" s="9" t="s">
        <v>379</v>
      </c>
      <c r="E14" s="9" t="s">
        <v>371</v>
      </c>
      <c r="F14" s="9"/>
      <c r="G14" s="9">
        <v>7</v>
      </c>
      <c r="H14" s="9" t="s">
        <v>372</v>
      </c>
      <c r="I14" s="15">
        <v>5800</v>
      </c>
      <c r="J14" s="9" t="s">
        <v>347</v>
      </c>
      <c r="K14" s="5" t="s">
        <v>380</v>
      </c>
    </row>
    <row r="15" spans="1:11" ht="15" customHeight="1">
      <c r="A15" s="4" t="s">
        <v>63</v>
      </c>
      <c r="B15" s="9">
        <v>1</v>
      </c>
      <c r="C15" s="9" t="s">
        <v>381</v>
      </c>
      <c r="D15" s="9" t="s">
        <v>370</v>
      </c>
      <c r="E15" s="9" t="s">
        <v>382</v>
      </c>
      <c r="F15" s="9"/>
      <c r="G15" s="9">
        <v>1</v>
      </c>
      <c r="H15" s="9" t="s">
        <v>372</v>
      </c>
      <c r="I15" s="15">
        <v>43200</v>
      </c>
      <c r="J15" s="9" t="s">
        <v>339</v>
      </c>
      <c r="K15" s="5" t="s">
        <v>383</v>
      </c>
    </row>
    <row r="16" spans="1:11" ht="15" customHeight="1">
      <c r="A16" s="4" t="s">
        <v>63</v>
      </c>
      <c r="B16" s="9">
        <v>2</v>
      </c>
      <c r="C16" s="9" t="s">
        <v>384</v>
      </c>
      <c r="D16" s="9" t="s">
        <v>336</v>
      </c>
      <c r="E16" s="9" t="s">
        <v>382</v>
      </c>
      <c r="F16" s="9"/>
      <c r="G16" s="9">
        <v>4</v>
      </c>
      <c r="H16" s="9" t="s">
        <v>352</v>
      </c>
      <c r="I16" s="15">
        <v>3600</v>
      </c>
      <c r="J16" s="9" t="s">
        <v>385</v>
      </c>
      <c r="K16" s="5" t="s">
        <v>386</v>
      </c>
    </row>
    <row r="17" spans="1:11" ht="15" customHeight="1">
      <c r="A17" s="4" t="s">
        <v>68</v>
      </c>
      <c r="B17" s="9">
        <v>1</v>
      </c>
      <c r="C17" s="9" t="s">
        <v>264</v>
      </c>
      <c r="D17" s="9" t="s">
        <v>336</v>
      </c>
      <c r="E17" s="9" t="s">
        <v>343</v>
      </c>
      <c r="F17" s="9"/>
      <c r="G17" s="9">
        <v>1</v>
      </c>
      <c r="H17" s="9" t="s">
        <v>338</v>
      </c>
      <c r="I17" s="15">
        <v>150</v>
      </c>
      <c r="J17" s="9" t="s">
        <v>344</v>
      </c>
      <c r="K17" s="5" t="s">
        <v>387</v>
      </c>
    </row>
    <row r="18" spans="1:11" ht="15" customHeight="1">
      <c r="A18" s="4" t="s">
        <v>68</v>
      </c>
      <c r="B18" s="9">
        <v>2</v>
      </c>
      <c r="C18" s="9" t="s">
        <v>388</v>
      </c>
      <c r="D18" s="9" t="s">
        <v>336</v>
      </c>
      <c r="E18" s="9" t="s">
        <v>389</v>
      </c>
      <c r="F18" s="9"/>
      <c r="G18" s="9">
        <v>1</v>
      </c>
      <c r="H18" s="9" t="s">
        <v>338</v>
      </c>
      <c r="I18" s="15">
        <v>160</v>
      </c>
      <c r="J18" s="9" t="s">
        <v>347</v>
      </c>
      <c r="K18" s="5" t="s">
        <v>390</v>
      </c>
    </row>
    <row r="19" spans="1:11" ht="15" customHeight="1">
      <c r="A19" s="4" t="s">
        <v>74</v>
      </c>
      <c r="B19" s="9">
        <v>1</v>
      </c>
      <c r="C19" s="9" t="s">
        <v>391</v>
      </c>
      <c r="D19" s="9" t="s">
        <v>336</v>
      </c>
      <c r="E19" s="9" t="s">
        <v>392</v>
      </c>
      <c r="F19" s="9"/>
      <c r="G19" s="9">
        <v>1</v>
      </c>
      <c r="H19" s="9" t="s">
        <v>352</v>
      </c>
      <c r="I19" s="15">
        <v>1850</v>
      </c>
      <c r="J19" s="9" t="s">
        <v>339</v>
      </c>
      <c r="K19" s="5" t="s">
        <v>393</v>
      </c>
    </row>
    <row r="20" spans="1:11" ht="15" customHeight="1">
      <c r="A20" s="4" t="s">
        <v>74</v>
      </c>
      <c r="B20" s="9">
        <v>2</v>
      </c>
      <c r="C20" s="9" t="s">
        <v>267</v>
      </c>
      <c r="D20" s="9" t="s">
        <v>336</v>
      </c>
      <c r="E20" s="9" t="s">
        <v>392</v>
      </c>
      <c r="F20" s="9"/>
      <c r="G20" s="9">
        <v>1</v>
      </c>
      <c r="H20" s="9" t="s">
        <v>352</v>
      </c>
      <c r="I20" s="15">
        <v>5350</v>
      </c>
      <c r="J20" s="9" t="s">
        <v>394</v>
      </c>
      <c r="K20" s="5" t="s">
        <v>395</v>
      </c>
    </row>
    <row r="21" spans="1:11" ht="15" customHeight="1">
      <c r="A21" s="4" t="s">
        <v>79</v>
      </c>
      <c r="B21" s="9">
        <v>1</v>
      </c>
      <c r="C21" s="9" t="s">
        <v>396</v>
      </c>
      <c r="D21" s="9" t="s">
        <v>336</v>
      </c>
      <c r="E21" s="9" t="s">
        <v>397</v>
      </c>
      <c r="F21" s="9"/>
      <c r="G21" s="9">
        <v>3</v>
      </c>
      <c r="H21" s="9" t="s">
        <v>372</v>
      </c>
      <c r="I21" s="15">
        <v>1900</v>
      </c>
      <c r="J21" s="9" t="s">
        <v>347</v>
      </c>
      <c r="K21" s="5" t="s">
        <v>398</v>
      </c>
    </row>
    <row r="22" spans="1:11" ht="15" customHeight="1">
      <c r="A22" s="4" t="s">
        <v>79</v>
      </c>
      <c r="B22" s="9">
        <v>2</v>
      </c>
      <c r="C22" s="9" t="s">
        <v>269</v>
      </c>
      <c r="D22" s="9" t="s">
        <v>379</v>
      </c>
      <c r="E22" s="9" t="s">
        <v>397</v>
      </c>
      <c r="F22" s="9"/>
      <c r="G22" s="9">
        <v>1</v>
      </c>
      <c r="H22" s="9" t="s">
        <v>399</v>
      </c>
      <c r="I22" s="15">
        <v>13500</v>
      </c>
      <c r="J22" s="9" t="s">
        <v>400</v>
      </c>
      <c r="K22" s="5" t="s">
        <v>401</v>
      </c>
    </row>
    <row r="23" spans="1:11" ht="15" customHeight="1">
      <c r="A23" s="4" t="s">
        <v>84</v>
      </c>
      <c r="B23" s="9">
        <v>1</v>
      </c>
      <c r="C23" s="9" t="s">
        <v>402</v>
      </c>
      <c r="D23" s="9" t="s">
        <v>336</v>
      </c>
      <c r="E23" s="9" t="s">
        <v>403</v>
      </c>
      <c r="F23" s="9"/>
      <c r="G23" s="9">
        <v>1</v>
      </c>
      <c r="H23" s="9" t="s">
        <v>338</v>
      </c>
      <c r="I23" s="15">
        <v>280</v>
      </c>
      <c r="J23" s="9" t="s">
        <v>404</v>
      </c>
      <c r="K23" s="5" t="s">
        <v>405</v>
      </c>
    </row>
    <row r="24" spans="1:11" ht="15" customHeight="1">
      <c r="A24" s="6" t="s">
        <v>84</v>
      </c>
      <c r="B24" s="10">
        <v>2</v>
      </c>
      <c r="C24" s="10" t="s">
        <v>406</v>
      </c>
      <c r="D24" s="10" t="s">
        <v>336</v>
      </c>
      <c r="E24" s="10" t="s">
        <v>403</v>
      </c>
      <c r="F24" s="10"/>
      <c r="G24" s="10">
        <v>1</v>
      </c>
      <c r="H24" s="10" t="s">
        <v>338</v>
      </c>
      <c r="I24" s="16">
        <v>500</v>
      </c>
      <c r="J24" s="10" t="s">
        <v>404</v>
      </c>
      <c r="K24" s="7" t="s">
        <v>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showGridLines="0" workbookViewId="0"/>
  </sheetViews>
  <sheetFormatPr defaultRowHeight="13.8"/>
  <cols>
    <col min="1" max="5" width="18" customWidth="1"/>
    <col min="6" max="6" width="48" customWidth="1"/>
    <col min="7" max="7" width="27" customWidth="1"/>
    <col min="8" max="8" width="28" customWidth="1"/>
  </cols>
  <sheetData>
    <row r="1" spans="1:8" ht="24" customHeight="1">
      <c r="A1" s="1" t="s">
        <v>407</v>
      </c>
      <c r="B1" s="1" t="s">
        <v>151</v>
      </c>
      <c r="C1" s="1" t="s">
        <v>18</v>
      </c>
      <c r="D1" s="1" t="s">
        <v>408</v>
      </c>
      <c r="E1" s="1" t="s">
        <v>409</v>
      </c>
      <c r="F1" s="1" t="s">
        <v>410</v>
      </c>
      <c r="G1" s="1" t="s">
        <v>411</v>
      </c>
      <c r="H1" s="1" t="s">
        <v>412</v>
      </c>
    </row>
    <row r="2" spans="1:8" ht="15" customHeight="1">
      <c r="A2" s="2" t="s">
        <v>413</v>
      </c>
      <c r="B2" s="8" t="s">
        <v>170</v>
      </c>
      <c r="C2" s="8" t="s">
        <v>24</v>
      </c>
      <c r="D2" s="11" t="s">
        <v>283</v>
      </c>
      <c r="E2" s="8" t="s">
        <v>414</v>
      </c>
      <c r="F2" s="8" t="s">
        <v>415</v>
      </c>
      <c r="G2" s="8">
        <v>1</v>
      </c>
      <c r="H2" s="3" t="s">
        <v>287</v>
      </c>
    </row>
    <row r="3" spans="1:8" ht="24" customHeight="1">
      <c r="A3" s="4" t="s">
        <v>416</v>
      </c>
      <c r="B3" s="9" t="s">
        <v>205</v>
      </c>
      <c r="C3" s="9" t="s">
        <v>30</v>
      </c>
      <c r="D3" s="12" t="s">
        <v>289</v>
      </c>
      <c r="E3" s="9" t="s">
        <v>414</v>
      </c>
      <c r="F3" s="9" t="s">
        <v>417</v>
      </c>
      <c r="G3" s="9">
        <v>1</v>
      </c>
      <c r="H3" s="5" t="s">
        <v>287</v>
      </c>
    </row>
    <row r="4" spans="1:8" ht="15" customHeight="1">
      <c r="A4" s="4" t="s">
        <v>418</v>
      </c>
      <c r="B4" s="9" t="s">
        <v>185</v>
      </c>
      <c r="C4" s="9" t="s">
        <v>35</v>
      </c>
      <c r="D4" s="12" t="s">
        <v>293</v>
      </c>
      <c r="E4" s="9" t="s">
        <v>419</v>
      </c>
      <c r="F4" s="9" t="s">
        <v>420</v>
      </c>
      <c r="G4" s="9">
        <v>1</v>
      </c>
      <c r="H4" s="5" t="s">
        <v>287</v>
      </c>
    </row>
    <row r="5" spans="1:8" ht="24" customHeight="1">
      <c r="A5" s="4" t="s">
        <v>421</v>
      </c>
      <c r="B5" s="9" t="s">
        <v>161</v>
      </c>
      <c r="C5" s="9" t="s">
        <v>41</v>
      </c>
      <c r="D5" s="12" t="s">
        <v>297</v>
      </c>
      <c r="E5" s="9" t="s">
        <v>419</v>
      </c>
      <c r="F5" s="9" t="s">
        <v>422</v>
      </c>
      <c r="G5" s="9">
        <v>1</v>
      </c>
      <c r="H5" s="5" t="s">
        <v>287</v>
      </c>
    </row>
    <row r="6" spans="1:8" ht="15" customHeight="1">
      <c r="A6" s="4" t="s">
        <v>423</v>
      </c>
      <c r="B6" s="9" t="s">
        <v>178</v>
      </c>
      <c r="C6" s="9" t="s">
        <v>47</v>
      </c>
      <c r="D6" s="12" t="s">
        <v>300</v>
      </c>
      <c r="E6" s="9" t="s">
        <v>414</v>
      </c>
      <c r="F6" s="9" t="s">
        <v>424</v>
      </c>
      <c r="G6" s="9">
        <v>1</v>
      </c>
      <c r="H6" s="5" t="s">
        <v>287</v>
      </c>
    </row>
    <row r="7" spans="1:8" ht="15" customHeight="1">
      <c r="A7" s="4" t="s">
        <v>425</v>
      </c>
      <c r="B7" s="9" t="s">
        <v>218</v>
      </c>
      <c r="C7" s="9" t="s">
        <v>52</v>
      </c>
      <c r="D7" s="12" t="s">
        <v>304</v>
      </c>
      <c r="E7" s="9" t="s">
        <v>414</v>
      </c>
      <c r="F7" s="9" t="s">
        <v>426</v>
      </c>
      <c r="G7" s="9">
        <v>1</v>
      </c>
      <c r="H7" s="5" t="s">
        <v>287</v>
      </c>
    </row>
    <row r="8" spans="1:8" ht="24" customHeight="1">
      <c r="A8" s="4" t="s">
        <v>427</v>
      </c>
      <c r="B8" s="9" t="s">
        <v>198</v>
      </c>
      <c r="C8" s="9" t="s">
        <v>58</v>
      </c>
      <c r="D8" s="12" t="s">
        <v>307</v>
      </c>
      <c r="E8" s="9" t="s">
        <v>428</v>
      </c>
      <c r="F8" s="9" t="s">
        <v>429</v>
      </c>
      <c r="G8" s="9">
        <v>7</v>
      </c>
      <c r="H8" s="5" t="s">
        <v>291</v>
      </c>
    </row>
    <row r="9" spans="1:8" ht="15" customHeight="1">
      <c r="A9" s="4" t="s">
        <v>430</v>
      </c>
      <c r="B9" s="9" t="s">
        <v>212</v>
      </c>
      <c r="C9" s="9" t="s">
        <v>63</v>
      </c>
      <c r="D9" s="12" t="s">
        <v>311</v>
      </c>
      <c r="E9" s="9" t="s">
        <v>428</v>
      </c>
      <c r="F9" s="9" t="s">
        <v>431</v>
      </c>
      <c r="G9" s="9">
        <v>5</v>
      </c>
      <c r="H9" s="5" t="s">
        <v>291</v>
      </c>
    </row>
    <row r="10" spans="1:8" ht="24" customHeight="1">
      <c r="A10" s="4" t="s">
        <v>432</v>
      </c>
      <c r="B10" s="9" t="s">
        <v>205</v>
      </c>
      <c r="C10" s="9" t="s">
        <v>68</v>
      </c>
      <c r="D10" s="12" t="s">
        <v>314</v>
      </c>
      <c r="E10" s="9" t="s">
        <v>414</v>
      </c>
      <c r="F10" s="9" t="s">
        <v>433</v>
      </c>
      <c r="G10" s="9">
        <v>1</v>
      </c>
      <c r="H10" s="5" t="s">
        <v>291</v>
      </c>
    </row>
    <row r="11" spans="1:8" ht="15" customHeight="1">
      <c r="A11" s="4" t="s">
        <v>434</v>
      </c>
      <c r="B11" s="9" t="s">
        <v>225</v>
      </c>
      <c r="C11" s="9" t="s">
        <v>74</v>
      </c>
      <c r="D11" s="12" t="s">
        <v>317</v>
      </c>
      <c r="E11" s="9" t="s">
        <v>435</v>
      </c>
      <c r="F11" s="9" t="s">
        <v>436</v>
      </c>
      <c r="G11" s="9">
        <v>1</v>
      </c>
      <c r="H11" s="5" t="s">
        <v>291</v>
      </c>
    </row>
    <row r="12" spans="1:8" ht="15" customHeight="1">
      <c r="A12" s="4" t="s">
        <v>437</v>
      </c>
      <c r="B12" s="9" t="s">
        <v>231</v>
      </c>
      <c r="C12" s="9" t="s">
        <v>79</v>
      </c>
      <c r="D12" s="12" t="s">
        <v>320</v>
      </c>
      <c r="E12" s="9" t="s">
        <v>428</v>
      </c>
      <c r="F12" s="9" t="s">
        <v>438</v>
      </c>
      <c r="G12" s="9">
        <v>6</v>
      </c>
      <c r="H12" s="5" t="s">
        <v>291</v>
      </c>
    </row>
    <row r="13" spans="1:8" ht="15" customHeight="1">
      <c r="A13" s="6" t="s">
        <v>439</v>
      </c>
      <c r="B13" s="10" t="s">
        <v>237</v>
      </c>
      <c r="C13" s="10" t="s">
        <v>84</v>
      </c>
      <c r="D13" s="13" t="s">
        <v>323</v>
      </c>
      <c r="E13" s="10" t="s">
        <v>414</v>
      </c>
      <c r="F13" s="10" t="s">
        <v>440</v>
      </c>
      <c r="G13" s="10">
        <v>1</v>
      </c>
      <c r="H13" s="7" t="s">
        <v>287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showGridLines="0" workbookViewId="0"/>
  </sheetViews>
  <sheetFormatPr defaultRowHeight="13.8"/>
  <cols>
    <col min="1" max="2" width="18" customWidth="1"/>
    <col min="3" max="3" width="14" customWidth="1"/>
    <col min="4" max="4" width="16" customWidth="1"/>
    <col min="5" max="5" width="19" customWidth="1"/>
    <col min="6" max="6" width="15" customWidth="1"/>
    <col min="7" max="7" width="34" customWidth="1"/>
    <col min="8" max="8" width="23" customWidth="1"/>
    <col min="9" max="9" width="48" customWidth="1"/>
  </cols>
  <sheetData>
    <row r="1" spans="1:9" ht="24" customHeight="1">
      <c r="A1" s="1" t="s">
        <v>86</v>
      </c>
      <c r="B1" s="1" t="s">
        <v>87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</row>
    <row r="2" spans="1:9" ht="15" customHeight="1">
      <c r="A2" s="2" t="s">
        <v>98</v>
      </c>
      <c r="B2" s="8" t="s">
        <v>99</v>
      </c>
      <c r="C2" s="8">
        <v>3</v>
      </c>
      <c r="D2" s="8">
        <v>1</v>
      </c>
      <c r="E2" s="8">
        <v>0</v>
      </c>
      <c r="F2" s="8">
        <v>1</v>
      </c>
      <c r="G2" s="8">
        <v>0</v>
      </c>
      <c r="H2" s="8" t="s">
        <v>108</v>
      </c>
      <c r="I2" s="3" t="s">
        <v>448</v>
      </c>
    </row>
    <row r="3" spans="1:9" ht="15" customHeight="1">
      <c r="A3" s="4" t="s">
        <v>110</v>
      </c>
      <c r="B3" s="9" t="s">
        <v>111</v>
      </c>
      <c r="C3" s="9">
        <v>3</v>
      </c>
      <c r="D3" s="9">
        <v>0</v>
      </c>
      <c r="E3" s="9">
        <v>2</v>
      </c>
      <c r="F3" s="9">
        <v>0</v>
      </c>
      <c r="G3" s="9">
        <v>1</v>
      </c>
      <c r="H3" s="9" t="s">
        <v>119</v>
      </c>
      <c r="I3" s="5" t="s">
        <v>449</v>
      </c>
    </row>
    <row r="4" spans="1:9" ht="15" customHeight="1">
      <c r="A4" s="4" t="s">
        <v>121</v>
      </c>
      <c r="B4" s="9" t="s">
        <v>111</v>
      </c>
      <c r="C4" s="9">
        <v>1</v>
      </c>
      <c r="D4" s="9">
        <v>1</v>
      </c>
      <c r="E4" s="9">
        <v>0</v>
      </c>
      <c r="F4" s="9">
        <v>0</v>
      </c>
      <c r="G4" s="9">
        <v>0</v>
      </c>
      <c r="H4" s="9" t="s">
        <v>127</v>
      </c>
      <c r="I4" s="5" t="s">
        <v>450</v>
      </c>
    </row>
    <row r="5" spans="1:9" ht="15" customHeight="1">
      <c r="A5" s="4" t="s">
        <v>129</v>
      </c>
      <c r="B5" s="9" t="s">
        <v>99</v>
      </c>
      <c r="C5" s="9">
        <v>2</v>
      </c>
      <c r="D5" s="9">
        <v>0</v>
      </c>
      <c r="E5" s="9">
        <v>0</v>
      </c>
      <c r="F5" s="9">
        <v>1</v>
      </c>
      <c r="G5" s="9">
        <v>1</v>
      </c>
      <c r="H5" s="9" t="s">
        <v>119</v>
      </c>
      <c r="I5" s="5" t="s">
        <v>451</v>
      </c>
    </row>
    <row r="6" spans="1:9" ht="15" customHeight="1">
      <c r="A6" s="4" t="s">
        <v>136</v>
      </c>
      <c r="B6" s="9" t="s">
        <v>111</v>
      </c>
      <c r="C6" s="9">
        <v>2</v>
      </c>
      <c r="D6" s="9">
        <v>0</v>
      </c>
      <c r="E6" s="9">
        <v>0</v>
      </c>
      <c r="F6" s="9">
        <v>0</v>
      </c>
      <c r="G6" s="9">
        <v>2</v>
      </c>
      <c r="H6" s="9" t="s">
        <v>108</v>
      </c>
      <c r="I6" s="5" t="s">
        <v>452</v>
      </c>
    </row>
    <row r="7" spans="1:9" ht="15" customHeight="1">
      <c r="A7" s="6" t="s">
        <v>144</v>
      </c>
      <c r="B7" s="10" t="s">
        <v>99</v>
      </c>
      <c r="C7" s="10">
        <v>1</v>
      </c>
      <c r="D7" s="10">
        <v>0</v>
      </c>
      <c r="E7" s="10">
        <v>0</v>
      </c>
      <c r="F7" s="10">
        <v>0</v>
      </c>
      <c r="G7" s="10">
        <v>1</v>
      </c>
      <c r="H7" s="10" t="s">
        <v>127</v>
      </c>
      <c r="I7" s="7" t="s">
        <v>453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"/>
  <sheetViews>
    <sheetView showGridLines="0" workbookViewId="0"/>
  </sheetViews>
  <sheetFormatPr defaultRowHeight="13.8"/>
  <cols>
    <col min="1" max="1" width="18" customWidth="1"/>
    <col min="2" max="2" width="21" customWidth="1"/>
    <col min="3" max="3" width="20" customWidth="1"/>
    <col min="4" max="7" width="14" customWidth="1"/>
    <col min="8" max="8" width="15" customWidth="1"/>
    <col min="9" max="9" width="17" customWidth="1"/>
    <col min="10" max="10" width="34" customWidth="1"/>
    <col min="11" max="11" width="48" customWidth="1"/>
  </cols>
  <sheetData>
    <row r="1" spans="1:11" ht="24" customHeight="1">
      <c r="A1" s="1" t="s">
        <v>18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  <c r="G1" s="1" t="s">
        <v>459</v>
      </c>
      <c r="H1" s="1" t="s">
        <v>281</v>
      </c>
      <c r="I1" s="1" t="s">
        <v>460</v>
      </c>
      <c r="J1" s="1" t="s">
        <v>461</v>
      </c>
      <c r="K1" s="1" t="s">
        <v>462</v>
      </c>
    </row>
    <row r="2" spans="1:11" ht="15" customHeight="1">
      <c r="A2" s="2" t="s">
        <v>24</v>
      </c>
      <c r="B2" s="8" t="s">
        <v>463</v>
      </c>
      <c r="C2" s="8" t="s">
        <v>464</v>
      </c>
      <c r="D2" s="8" t="s">
        <v>339</v>
      </c>
      <c r="E2" s="8" t="s">
        <v>339</v>
      </c>
      <c r="F2" s="8" t="s">
        <v>339</v>
      </c>
      <c r="G2" s="8" t="s">
        <v>339</v>
      </c>
      <c r="H2" s="8" t="s">
        <v>465</v>
      </c>
      <c r="I2" s="8" t="s">
        <v>287</v>
      </c>
      <c r="J2" s="8" t="s">
        <v>466</v>
      </c>
      <c r="K2" s="3" t="s">
        <v>467</v>
      </c>
    </row>
    <row r="3" spans="1:11" ht="24" customHeight="1">
      <c r="A3" s="4" t="s">
        <v>30</v>
      </c>
      <c r="B3" s="9" t="s">
        <v>468</v>
      </c>
      <c r="C3" s="9" t="s">
        <v>469</v>
      </c>
      <c r="D3" s="9" t="s">
        <v>339</v>
      </c>
      <c r="E3" s="9" t="s">
        <v>470</v>
      </c>
      <c r="F3" s="9" t="s">
        <v>471</v>
      </c>
      <c r="G3" s="9" t="s">
        <v>339</v>
      </c>
      <c r="H3" s="9" t="s">
        <v>472</v>
      </c>
      <c r="I3" s="9" t="s">
        <v>473</v>
      </c>
      <c r="J3" s="9" t="s">
        <v>474</v>
      </c>
      <c r="K3" s="5" t="s">
        <v>475</v>
      </c>
    </row>
    <row r="4" spans="1:11" ht="24" customHeight="1">
      <c r="A4" s="4" t="s">
        <v>35</v>
      </c>
      <c r="B4" s="9" t="s">
        <v>476</v>
      </c>
      <c r="C4" s="9" t="s">
        <v>477</v>
      </c>
      <c r="D4" s="9" t="s">
        <v>339</v>
      </c>
      <c r="E4" s="9" t="s">
        <v>339</v>
      </c>
      <c r="F4" s="9" t="s">
        <v>470</v>
      </c>
      <c r="G4" s="9" t="s">
        <v>339</v>
      </c>
      <c r="H4" s="9" t="s">
        <v>478</v>
      </c>
      <c r="I4" s="9" t="s">
        <v>291</v>
      </c>
      <c r="J4" s="9" t="s">
        <v>479</v>
      </c>
      <c r="K4" s="5" t="s">
        <v>480</v>
      </c>
    </row>
    <row r="5" spans="1:11" ht="15" customHeight="1">
      <c r="A5" s="4" t="s">
        <v>41</v>
      </c>
      <c r="B5" s="9" t="s">
        <v>481</v>
      </c>
      <c r="C5" s="9" t="s">
        <v>298</v>
      </c>
      <c r="D5" s="9" t="s">
        <v>470</v>
      </c>
      <c r="E5" s="9" t="s">
        <v>339</v>
      </c>
      <c r="F5" s="9" t="s">
        <v>339</v>
      </c>
      <c r="G5" s="9" t="s">
        <v>470</v>
      </c>
      <c r="H5" s="9" t="s">
        <v>478</v>
      </c>
      <c r="I5" s="9" t="s">
        <v>291</v>
      </c>
      <c r="J5" s="9" t="s">
        <v>482</v>
      </c>
      <c r="K5" s="5" t="s">
        <v>483</v>
      </c>
    </row>
    <row r="6" spans="1:11" ht="15" customHeight="1">
      <c r="A6" s="4" t="s">
        <v>47</v>
      </c>
      <c r="B6" s="9" t="s">
        <v>484</v>
      </c>
      <c r="C6" s="9" t="s">
        <v>485</v>
      </c>
      <c r="D6" s="9" t="s">
        <v>339</v>
      </c>
      <c r="E6" s="9" t="s">
        <v>339</v>
      </c>
      <c r="F6" s="9" t="s">
        <v>339</v>
      </c>
      <c r="G6" s="9" t="s">
        <v>339</v>
      </c>
      <c r="H6" s="9" t="s">
        <v>472</v>
      </c>
      <c r="I6" s="9" t="s">
        <v>291</v>
      </c>
      <c r="J6" s="9" t="s">
        <v>486</v>
      </c>
      <c r="K6" s="5" t="s">
        <v>487</v>
      </c>
    </row>
    <row r="7" spans="1:11" ht="15" customHeight="1">
      <c r="A7" s="4" t="s">
        <v>52</v>
      </c>
      <c r="B7" s="9" t="s">
        <v>488</v>
      </c>
      <c r="C7" s="9" t="s">
        <v>489</v>
      </c>
      <c r="D7" s="9" t="s">
        <v>339</v>
      </c>
      <c r="E7" s="9" t="s">
        <v>339</v>
      </c>
      <c r="F7" s="9" t="s">
        <v>339</v>
      </c>
      <c r="G7" s="9" t="s">
        <v>339</v>
      </c>
      <c r="H7" s="9" t="s">
        <v>472</v>
      </c>
      <c r="I7" s="9" t="s">
        <v>291</v>
      </c>
      <c r="J7" s="9" t="s">
        <v>490</v>
      </c>
      <c r="K7" s="5" t="s">
        <v>491</v>
      </c>
    </row>
    <row r="8" spans="1:11" ht="15" customHeight="1">
      <c r="A8" s="4" t="s">
        <v>58</v>
      </c>
      <c r="B8" s="9" t="s">
        <v>492</v>
      </c>
      <c r="C8" s="9" t="s">
        <v>493</v>
      </c>
      <c r="D8" s="9" t="s">
        <v>373</v>
      </c>
      <c r="E8" s="9" t="s">
        <v>494</v>
      </c>
      <c r="F8" s="9" t="s">
        <v>339</v>
      </c>
      <c r="G8" s="9" t="s">
        <v>373</v>
      </c>
      <c r="H8" s="9" t="s">
        <v>478</v>
      </c>
      <c r="I8" s="9" t="s">
        <v>291</v>
      </c>
      <c r="J8" s="9" t="s">
        <v>495</v>
      </c>
      <c r="K8" s="5" t="s">
        <v>496</v>
      </c>
    </row>
    <row r="9" spans="1:11" ht="15" customHeight="1">
      <c r="A9" s="4" t="s">
        <v>63</v>
      </c>
      <c r="B9" s="9" t="s">
        <v>497</v>
      </c>
      <c r="C9" s="9" t="s">
        <v>312</v>
      </c>
      <c r="D9" s="9" t="s">
        <v>339</v>
      </c>
      <c r="E9" s="9" t="s">
        <v>494</v>
      </c>
      <c r="F9" s="9" t="s">
        <v>339</v>
      </c>
      <c r="G9" s="9" t="s">
        <v>339</v>
      </c>
      <c r="H9" s="9" t="s">
        <v>472</v>
      </c>
      <c r="I9" s="9" t="s">
        <v>287</v>
      </c>
      <c r="J9" s="9" t="s">
        <v>498</v>
      </c>
      <c r="K9" s="5" t="s">
        <v>499</v>
      </c>
    </row>
    <row r="10" spans="1:11" ht="24" customHeight="1">
      <c r="A10" s="4" t="s">
        <v>68</v>
      </c>
      <c r="B10" s="9" t="s">
        <v>500</v>
      </c>
      <c r="C10" s="9" t="s">
        <v>501</v>
      </c>
      <c r="D10" s="9" t="s">
        <v>339</v>
      </c>
      <c r="E10" s="9" t="s">
        <v>470</v>
      </c>
      <c r="F10" s="9" t="s">
        <v>471</v>
      </c>
      <c r="G10" s="9" t="s">
        <v>339</v>
      </c>
      <c r="H10" s="9" t="s">
        <v>472</v>
      </c>
      <c r="I10" s="9" t="s">
        <v>473</v>
      </c>
      <c r="J10" s="9" t="s">
        <v>502</v>
      </c>
      <c r="K10" s="5" t="s">
        <v>503</v>
      </c>
    </row>
    <row r="11" spans="1:11" ht="15" customHeight="1">
      <c r="A11" s="4" t="s">
        <v>74</v>
      </c>
      <c r="B11" s="9" t="s">
        <v>504</v>
      </c>
      <c r="C11" s="9" t="s">
        <v>505</v>
      </c>
      <c r="D11" s="9" t="s">
        <v>339</v>
      </c>
      <c r="E11" s="9" t="s">
        <v>339</v>
      </c>
      <c r="F11" s="9" t="s">
        <v>339</v>
      </c>
      <c r="G11" s="9" t="s">
        <v>373</v>
      </c>
      <c r="H11" s="9" t="s">
        <v>478</v>
      </c>
      <c r="I11" s="9" t="s">
        <v>291</v>
      </c>
      <c r="J11" s="9" t="s">
        <v>506</v>
      </c>
      <c r="K11" s="5" t="s">
        <v>507</v>
      </c>
    </row>
    <row r="12" spans="1:11" ht="24" customHeight="1">
      <c r="A12" s="4" t="s">
        <v>79</v>
      </c>
      <c r="B12" s="9" t="s">
        <v>508</v>
      </c>
      <c r="C12" s="9" t="s">
        <v>509</v>
      </c>
      <c r="D12" s="9" t="s">
        <v>339</v>
      </c>
      <c r="E12" s="9" t="s">
        <v>494</v>
      </c>
      <c r="F12" s="9" t="s">
        <v>339</v>
      </c>
      <c r="G12" s="9" t="s">
        <v>400</v>
      </c>
      <c r="H12" s="9" t="s">
        <v>478</v>
      </c>
      <c r="I12" s="9" t="s">
        <v>291</v>
      </c>
      <c r="J12" s="9" t="s">
        <v>510</v>
      </c>
      <c r="K12" s="5" t="s">
        <v>511</v>
      </c>
    </row>
    <row r="13" spans="1:11" ht="15" customHeight="1">
      <c r="A13" s="6" t="s">
        <v>84</v>
      </c>
      <c r="B13" s="10" t="s">
        <v>488</v>
      </c>
      <c r="C13" s="10" t="s">
        <v>512</v>
      </c>
      <c r="D13" s="10" t="s">
        <v>339</v>
      </c>
      <c r="E13" s="10" t="s">
        <v>339</v>
      </c>
      <c r="F13" s="10" t="s">
        <v>339</v>
      </c>
      <c r="G13" s="10" t="s">
        <v>339</v>
      </c>
      <c r="H13" s="10" t="s">
        <v>472</v>
      </c>
      <c r="I13" s="10" t="s">
        <v>291</v>
      </c>
      <c r="J13" s="10" t="s">
        <v>513</v>
      </c>
      <c r="K13" s="7" t="s">
        <v>514</v>
      </c>
    </row>
  </sheetData>
  <conditionalFormatting sqref="B2:J13">
    <cfRule type="containsText" dxfId="3" priority="1" operator="containsText" text="STP"/>
    <cfRule type="containsText" dxfId="2" priority="2" operator="containsText" text="Denial"/>
  </conditionalFormatting>
  <conditionalFormatting sqref="H2:H13">
    <cfRule type="containsText" dxfId="1" priority="3" operator="containsText" text="HIGH"/>
  </conditionalFormatting>
  <conditionalFormatting sqref="I2:I13">
    <cfRule type="containsText" dxfId="0" priority="4" operator="containsText" text="Yes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3"/>
  <sheetViews>
    <sheetView showGridLines="0" workbookViewId="0">
      <selection sqref="A1:XFD1048576"/>
    </sheetView>
  </sheetViews>
  <sheetFormatPr defaultRowHeight="13.8"/>
  <cols>
    <col min="1" max="4" width="18" customWidth="1"/>
    <col min="5" max="5" width="48" customWidth="1"/>
    <col min="6" max="9" width="15" customWidth="1"/>
    <col min="10" max="10" width="34" customWidth="1"/>
    <col min="11" max="13" width="48" customWidth="1"/>
  </cols>
  <sheetData>
    <row r="1" spans="1:13" ht="14.4">
      <c r="A1" s="1" t="s">
        <v>515</v>
      </c>
      <c r="B1" s="1" t="s">
        <v>18</v>
      </c>
      <c r="C1" s="1" t="s">
        <v>516</v>
      </c>
      <c r="D1" s="1" t="s">
        <v>517</v>
      </c>
      <c r="E1" s="1" t="s">
        <v>518</v>
      </c>
      <c r="F1" s="1" t="s">
        <v>519</v>
      </c>
      <c r="G1" s="1" t="s">
        <v>520</v>
      </c>
      <c r="H1" s="1" t="s">
        <v>281</v>
      </c>
      <c r="I1" s="1" t="s">
        <v>521</v>
      </c>
      <c r="J1" s="1" t="s">
        <v>522</v>
      </c>
      <c r="K1" s="1" t="s">
        <v>523</v>
      </c>
      <c r="L1" s="1" t="s">
        <v>524</v>
      </c>
      <c r="M1" s="1" t="s">
        <v>525</v>
      </c>
    </row>
    <row r="2" spans="1:13" ht="41.4">
      <c r="A2" s="2" t="s">
        <v>526</v>
      </c>
      <c r="B2" s="8" t="s">
        <v>24</v>
      </c>
      <c r="C2" s="8" t="s">
        <v>527</v>
      </c>
      <c r="D2" s="8">
        <v>46197.416666666664</v>
      </c>
      <c r="E2" s="8" t="s">
        <v>528</v>
      </c>
      <c r="F2" s="8" t="s">
        <v>463</v>
      </c>
      <c r="G2" s="8" t="s">
        <v>464</v>
      </c>
      <c r="H2" s="8" t="s">
        <v>287</v>
      </c>
      <c r="I2" s="8" t="s">
        <v>466</v>
      </c>
      <c r="J2" s="8" t="s">
        <v>467</v>
      </c>
      <c r="K2" s="8"/>
      <c r="L2" s="8" t="s">
        <v>529</v>
      </c>
      <c r="M2" s="3" t="s">
        <v>530</v>
      </c>
    </row>
    <row r="3" spans="1:13" ht="41.4">
      <c r="A3" s="4" t="s">
        <v>531</v>
      </c>
      <c r="B3" s="9" t="s">
        <v>30</v>
      </c>
      <c r="C3" s="9" t="s">
        <v>532</v>
      </c>
      <c r="D3" s="9">
        <v>46197.416666666664</v>
      </c>
      <c r="E3" s="9" t="s">
        <v>528</v>
      </c>
      <c r="F3" s="9" t="s">
        <v>468</v>
      </c>
      <c r="G3" s="9" t="s">
        <v>469</v>
      </c>
      <c r="H3" s="9" t="s">
        <v>473</v>
      </c>
      <c r="I3" s="9" t="s">
        <v>474</v>
      </c>
      <c r="J3" s="9" t="s">
        <v>475</v>
      </c>
      <c r="K3" s="9"/>
      <c r="L3" s="9" t="s">
        <v>529</v>
      </c>
      <c r="M3" s="5" t="s">
        <v>530</v>
      </c>
    </row>
    <row r="4" spans="1:13" ht="55.2">
      <c r="A4" s="4" t="s">
        <v>533</v>
      </c>
      <c r="B4" s="9" t="s">
        <v>35</v>
      </c>
      <c r="C4" s="9" t="s">
        <v>534</v>
      </c>
      <c r="D4" s="9">
        <v>46197.416666666664</v>
      </c>
      <c r="E4" s="9" t="s">
        <v>528</v>
      </c>
      <c r="F4" s="9" t="s">
        <v>476</v>
      </c>
      <c r="G4" s="9" t="s">
        <v>477</v>
      </c>
      <c r="H4" s="9" t="s">
        <v>291</v>
      </c>
      <c r="I4" s="9" t="s">
        <v>479</v>
      </c>
      <c r="J4" s="9" t="s">
        <v>480</v>
      </c>
      <c r="K4" s="9"/>
      <c r="L4" s="9" t="s">
        <v>529</v>
      </c>
      <c r="M4" s="5" t="s">
        <v>530</v>
      </c>
    </row>
    <row r="5" spans="1:13" ht="41.4">
      <c r="A5" s="4" t="s">
        <v>535</v>
      </c>
      <c r="B5" s="9" t="s">
        <v>41</v>
      </c>
      <c r="C5" s="9" t="s">
        <v>536</v>
      </c>
      <c r="D5" s="9">
        <v>46197.416666666664</v>
      </c>
      <c r="E5" s="9" t="s">
        <v>528</v>
      </c>
      <c r="F5" s="9" t="s">
        <v>481</v>
      </c>
      <c r="G5" s="9" t="s">
        <v>298</v>
      </c>
      <c r="H5" s="9" t="s">
        <v>291</v>
      </c>
      <c r="I5" s="9" t="s">
        <v>482</v>
      </c>
      <c r="J5" s="9" t="s">
        <v>483</v>
      </c>
      <c r="K5" s="9"/>
      <c r="L5" s="9" t="s">
        <v>529</v>
      </c>
      <c r="M5" s="5" t="s">
        <v>530</v>
      </c>
    </row>
    <row r="6" spans="1:13" ht="41.4">
      <c r="A6" s="4" t="s">
        <v>537</v>
      </c>
      <c r="B6" s="9" t="s">
        <v>47</v>
      </c>
      <c r="C6" s="9" t="s">
        <v>538</v>
      </c>
      <c r="D6" s="9">
        <v>46197.416666666664</v>
      </c>
      <c r="E6" s="9" t="s">
        <v>528</v>
      </c>
      <c r="F6" s="9" t="s">
        <v>484</v>
      </c>
      <c r="G6" s="9" t="s">
        <v>485</v>
      </c>
      <c r="H6" s="9" t="s">
        <v>291</v>
      </c>
      <c r="I6" s="9" t="s">
        <v>486</v>
      </c>
      <c r="J6" s="9" t="s">
        <v>487</v>
      </c>
      <c r="K6" s="9"/>
      <c r="L6" s="9" t="s">
        <v>529</v>
      </c>
      <c r="M6" s="5" t="s">
        <v>530</v>
      </c>
    </row>
    <row r="7" spans="1:13" ht="41.4">
      <c r="A7" s="4" t="s">
        <v>539</v>
      </c>
      <c r="B7" s="9" t="s">
        <v>52</v>
      </c>
      <c r="C7" s="9" t="s">
        <v>540</v>
      </c>
      <c r="D7" s="9">
        <v>46197.416666666664</v>
      </c>
      <c r="E7" s="9" t="s">
        <v>528</v>
      </c>
      <c r="F7" s="9" t="s">
        <v>488</v>
      </c>
      <c r="G7" s="9" t="s">
        <v>489</v>
      </c>
      <c r="H7" s="9" t="s">
        <v>291</v>
      </c>
      <c r="I7" s="9" t="s">
        <v>490</v>
      </c>
      <c r="J7" s="9" t="s">
        <v>491</v>
      </c>
      <c r="K7" s="9"/>
      <c r="L7" s="9" t="s">
        <v>529</v>
      </c>
      <c r="M7" s="5" t="s">
        <v>530</v>
      </c>
    </row>
    <row r="8" spans="1:13" ht="41.4">
      <c r="A8" s="4" t="s">
        <v>541</v>
      </c>
      <c r="B8" s="9" t="s">
        <v>58</v>
      </c>
      <c r="C8" s="9" t="s">
        <v>542</v>
      </c>
      <c r="D8" s="9">
        <v>46197.416666666664</v>
      </c>
      <c r="E8" s="9" t="s">
        <v>528</v>
      </c>
      <c r="F8" s="9" t="s">
        <v>492</v>
      </c>
      <c r="G8" s="9" t="s">
        <v>493</v>
      </c>
      <c r="H8" s="9" t="s">
        <v>291</v>
      </c>
      <c r="I8" s="9" t="s">
        <v>495</v>
      </c>
      <c r="J8" s="9" t="s">
        <v>496</v>
      </c>
      <c r="K8" s="9"/>
      <c r="L8" s="9" t="s">
        <v>529</v>
      </c>
      <c r="M8" s="5" t="s">
        <v>530</v>
      </c>
    </row>
    <row r="9" spans="1:13" ht="41.4">
      <c r="A9" s="4" t="s">
        <v>543</v>
      </c>
      <c r="B9" s="9" t="s">
        <v>63</v>
      </c>
      <c r="C9" s="9" t="s">
        <v>544</v>
      </c>
      <c r="D9" s="9">
        <v>46197.416666666664</v>
      </c>
      <c r="E9" s="9" t="s">
        <v>528</v>
      </c>
      <c r="F9" s="9" t="s">
        <v>497</v>
      </c>
      <c r="G9" s="9" t="s">
        <v>312</v>
      </c>
      <c r="H9" s="9" t="s">
        <v>287</v>
      </c>
      <c r="I9" s="9" t="s">
        <v>498</v>
      </c>
      <c r="J9" s="9" t="s">
        <v>499</v>
      </c>
      <c r="K9" s="9"/>
      <c r="L9" s="9" t="s">
        <v>529</v>
      </c>
      <c r="M9" s="5" t="s">
        <v>530</v>
      </c>
    </row>
    <row r="10" spans="1:13" ht="41.4">
      <c r="A10" s="4" t="s">
        <v>545</v>
      </c>
      <c r="B10" s="9" t="s">
        <v>68</v>
      </c>
      <c r="C10" s="9" t="s">
        <v>546</v>
      </c>
      <c r="D10" s="9">
        <v>46197.416666666664</v>
      </c>
      <c r="E10" s="9" t="s">
        <v>528</v>
      </c>
      <c r="F10" s="9" t="s">
        <v>500</v>
      </c>
      <c r="G10" s="9" t="s">
        <v>501</v>
      </c>
      <c r="H10" s="9" t="s">
        <v>473</v>
      </c>
      <c r="I10" s="9" t="s">
        <v>502</v>
      </c>
      <c r="J10" s="9" t="s">
        <v>503</v>
      </c>
      <c r="K10" s="9"/>
      <c r="L10" s="9" t="s">
        <v>529</v>
      </c>
      <c r="M10" s="5" t="s">
        <v>530</v>
      </c>
    </row>
    <row r="11" spans="1:13" ht="55.2">
      <c r="A11" s="4" t="s">
        <v>547</v>
      </c>
      <c r="B11" s="9" t="s">
        <v>74</v>
      </c>
      <c r="C11" s="9" t="s">
        <v>548</v>
      </c>
      <c r="D11" s="9">
        <v>46197.416666666664</v>
      </c>
      <c r="E11" s="9" t="s">
        <v>528</v>
      </c>
      <c r="F11" s="9" t="s">
        <v>504</v>
      </c>
      <c r="G11" s="9" t="s">
        <v>505</v>
      </c>
      <c r="H11" s="9" t="s">
        <v>291</v>
      </c>
      <c r="I11" s="9" t="s">
        <v>506</v>
      </c>
      <c r="J11" s="9" t="s">
        <v>507</v>
      </c>
      <c r="K11" s="9"/>
      <c r="L11" s="9" t="s">
        <v>529</v>
      </c>
      <c r="M11" s="5" t="s">
        <v>530</v>
      </c>
    </row>
    <row r="12" spans="1:13" ht="41.4">
      <c r="A12" s="4" t="s">
        <v>549</v>
      </c>
      <c r="B12" s="9" t="s">
        <v>79</v>
      </c>
      <c r="C12" s="9" t="s">
        <v>550</v>
      </c>
      <c r="D12" s="9">
        <v>46197.416666666664</v>
      </c>
      <c r="E12" s="9" t="s">
        <v>528</v>
      </c>
      <c r="F12" s="9" t="s">
        <v>508</v>
      </c>
      <c r="G12" s="9" t="s">
        <v>509</v>
      </c>
      <c r="H12" s="9" t="s">
        <v>291</v>
      </c>
      <c r="I12" s="9" t="s">
        <v>510</v>
      </c>
      <c r="J12" s="9" t="s">
        <v>511</v>
      </c>
      <c r="K12" s="9"/>
      <c r="L12" s="9" t="s">
        <v>529</v>
      </c>
      <c r="M12" s="5" t="s">
        <v>530</v>
      </c>
    </row>
    <row r="13" spans="1:13" ht="41.4">
      <c r="A13" s="6" t="s">
        <v>551</v>
      </c>
      <c r="B13" s="10" t="s">
        <v>84</v>
      </c>
      <c r="C13" s="10" t="s">
        <v>552</v>
      </c>
      <c r="D13" s="10">
        <v>46197.416666666664</v>
      </c>
      <c r="E13" s="10" t="s">
        <v>528</v>
      </c>
      <c r="F13" s="10" t="s">
        <v>488</v>
      </c>
      <c r="G13" s="10" t="s">
        <v>512</v>
      </c>
      <c r="H13" s="10" t="s">
        <v>291</v>
      </c>
      <c r="I13" s="10" t="s">
        <v>513</v>
      </c>
      <c r="J13" s="10" t="s">
        <v>514</v>
      </c>
      <c r="K13" s="10"/>
      <c r="L13" s="10" t="s">
        <v>529</v>
      </c>
      <c r="M13" s="7" t="s">
        <v>530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7"/>
  <sheetViews>
    <sheetView showGridLines="0" workbookViewId="0">
      <selection activeCell="E12" sqref="E12"/>
    </sheetView>
  </sheetViews>
  <sheetFormatPr defaultRowHeight="13.8"/>
  <cols>
    <col min="1" max="2" width="15" customWidth="1"/>
    <col min="3" max="3" width="34" customWidth="1"/>
    <col min="4" max="4" width="15" customWidth="1"/>
    <col min="5" max="6" width="48" customWidth="1"/>
  </cols>
  <sheetData>
    <row r="1" spans="1:6" ht="14.4">
      <c r="A1" s="1" t="s">
        <v>327</v>
      </c>
      <c r="B1" s="1" t="s">
        <v>553</v>
      </c>
      <c r="C1" s="1" t="s">
        <v>554</v>
      </c>
      <c r="D1" s="1" t="s">
        <v>555</v>
      </c>
      <c r="E1" s="1" t="s">
        <v>556</v>
      </c>
      <c r="F1" s="1" t="s">
        <v>557</v>
      </c>
    </row>
    <row r="2" spans="1:6" ht="14.4">
      <c r="A2" s="2" t="s">
        <v>558</v>
      </c>
      <c r="B2" s="8" t="s">
        <v>337</v>
      </c>
      <c r="C2" s="8" t="s">
        <v>559</v>
      </c>
      <c r="D2" s="8" t="s">
        <v>560</v>
      </c>
      <c r="E2" s="8" t="s">
        <v>561</v>
      </c>
      <c r="F2" s="3" t="s">
        <v>562</v>
      </c>
    </row>
    <row r="3" spans="1:6" ht="27.6">
      <c r="A3" s="4" t="s">
        <v>558</v>
      </c>
      <c r="B3" s="9" t="s">
        <v>343</v>
      </c>
      <c r="C3" s="9" t="s">
        <v>563</v>
      </c>
      <c r="D3" s="9" t="s">
        <v>560</v>
      </c>
      <c r="E3" s="9" t="s">
        <v>564</v>
      </c>
      <c r="F3" s="5" t="s">
        <v>562</v>
      </c>
    </row>
    <row r="4" spans="1:6" ht="14.4">
      <c r="A4" s="4" t="s">
        <v>558</v>
      </c>
      <c r="B4" s="9" t="s">
        <v>350</v>
      </c>
      <c r="C4" s="9" t="s">
        <v>565</v>
      </c>
      <c r="D4" s="9" t="s">
        <v>560</v>
      </c>
      <c r="E4" s="9" t="s">
        <v>566</v>
      </c>
      <c r="F4" s="5" t="s">
        <v>562</v>
      </c>
    </row>
    <row r="5" spans="1:6" ht="27.6">
      <c r="A5" s="4" t="s">
        <v>558</v>
      </c>
      <c r="B5" s="9" t="s">
        <v>356</v>
      </c>
      <c r="C5" s="9" t="s">
        <v>567</v>
      </c>
      <c r="D5" s="9" t="s">
        <v>560</v>
      </c>
      <c r="E5" s="9" t="s">
        <v>568</v>
      </c>
      <c r="F5" s="5" t="s">
        <v>562</v>
      </c>
    </row>
    <row r="6" spans="1:6" ht="14.4">
      <c r="A6" s="4" t="s">
        <v>558</v>
      </c>
      <c r="B6" s="9" t="s">
        <v>371</v>
      </c>
      <c r="C6" s="9" t="s">
        <v>569</v>
      </c>
      <c r="D6" s="9" t="s">
        <v>560</v>
      </c>
      <c r="E6" s="9" t="s">
        <v>570</v>
      </c>
      <c r="F6" s="5" t="s">
        <v>562</v>
      </c>
    </row>
    <row r="7" spans="1:6" ht="14.4">
      <c r="A7" s="4" t="s">
        <v>558</v>
      </c>
      <c r="B7" s="9" t="s">
        <v>376</v>
      </c>
      <c r="C7" s="9" t="s">
        <v>571</v>
      </c>
      <c r="D7" s="9" t="s">
        <v>560</v>
      </c>
      <c r="E7" s="9" t="s">
        <v>572</v>
      </c>
      <c r="F7" s="5" t="s">
        <v>562</v>
      </c>
    </row>
    <row r="8" spans="1:6" ht="14.4">
      <c r="A8" s="4" t="s">
        <v>558</v>
      </c>
      <c r="B8" s="9" t="s">
        <v>382</v>
      </c>
      <c r="C8" s="9" t="s">
        <v>573</v>
      </c>
      <c r="D8" s="9" t="s">
        <v>560</v>
      </c>
      <c r="E8" s="9" t="s">
        <v>574</v>
      </c>
      <c r="F8" s="5" t="s">
        <v>562</v>
      </c>
    </row>
    <row r="9" spans="1:6" ht="14.4">
      <c r="A9" s="4" t="s">
        <v>558</v>
      </c>
      <c r="B9" s="9" t="s">
        <v>392</v>
      </c>
      <c r="C9" s="9" t="s">
        <v>575</v>
      </c>
      <c r="D9" s="9" t="s">
        <v>560</v>
      </c>
      <c r="E9" s="9" t="s">
        <v>576</v>
      </c>
      <c r="F9" s="5" t="s">
        <v>562</v>
      </c>
    </row>
    <row r="10" spans="1:6" ht="27.6">
      <c r="A10" s="4" t="s">
        <v>336</v>
      </c>
      <c r="B10" s="9" t="s">
        <v>264</v>
      </c>
      <c r="C10" s="9" t="s">
        <v>577</v>
      </c>
      <c r="D10" s="9" t="s">
        <v>578</v>
      </c>
      <c r="E10" s="9" t="s">
        <v>579</v>
      </c>
      <c r="F10" s="5" t="s">
        <v>580</v>
      </c>
    </row>
    <row r="11" spans="1:6" ht="27.6">
      <c r="A11" s="4" t="s">
        <v>336</v>
      </c>
      <c r="B11" s="9" t="s">
        <v>335</v>
      </c>
      <c r="C11" s="9" t="s">
        <v>581</v>
      </c>
      <c r="D11" s="9" t="s">
        <v>578</v>
      </c>
      <c r="E11" s="9" t="s">
        <v>579</v>
      </c>
      <c r="F11" s="5" t="s">
        <v>580</v>
      </c>
    </row>
    <row r="12" spans="1:6" ht="14.4">
      <c r="A12" s="4" t="s">
        <v>336</v>
      </c>
      <c r="B12" s="9" t="s">
        <v>341</v>
      </c>
      <c r="C12" s="9" t="s">
        <v>582</v>
      </c>
      <c r="D12" s="9" t="s">
        <v>578</v>
      </c>
      <c r="E12" s="9" t="s">
        <v>583</v>
      </c>
      <c r="F12" s="5" t="s">
        <v>580</v>
      </c>
    </row>
    <row r="13" spans="1:6" ht="14.4">
      <c r="A13" s="4" t="s">
        <v>336</v>
      </c>
      <c r="B13" s="9" t="s">
        <v>346</v>
      </c>
      <c r="C13" s="9" t="s">
        <v>584</v>
      </c>
      <c r="D13" s="9" t="s">
        <v>578</v>
      </c>
      <c r="E13" s="9" t="s">
        <v>585</v>
      </c>
      <c r="F13" s="5" t="s">
        <v>580</v>
      </c>
    </row>
    <row r="14" spans="1:6" ht="14.4">
      <c r="A14" s="4" t="s">
        <v>336</v>
      </c>
      <c r="B14" s="9" t="s">
        <v>349</v>
      </c>
      <c r="C14" s="9" t="s">
        <v>586</v>
      </c>
      <c r="D14" s="9" t="s">
        <v>578</v>
      </c>
      <c r="E14" s="9" t="s">
        <v>587</v>
      </c>
      <c r="F14" s="5" t="s">
        <v>580</v>
      </c>
    </row>
    <row r="15" spans="1:6" ht="14.4">
      <c r="A15" s="4" t="s">
        <v>336</v>
      </c>
      <c r="B15" s="9" t="s">
        <v>355</v>
      </c>
      <c r="C15" s="9" t="s">
        <v>588</v>
      </c>
      <c r="D15" s="9" t="s">
        <v>578</v>
      </c>
      <c r="E15" s="9" t="s">
        <v>587</v>
      </c>
      <c r="F15" s="5" t="s">
        <v>580</v>
      </c>
    </row>
    <row r="16" spans="1:6" ht="14.4">
      <c r="A16" s="4" t="s">
        <v>336</v>
      </c>
      <c r="B16" s="9" t="s">
        <v>251</v>
      </c>
      <c r="C16" s="9" t="s">
        <v>589</v>
      </c>
      <c r="D16" s="9" t="s">
        <v>578</v>
      </c>
      <c r="E16" s="9" t="s">
        <v>590</v>
      </c>
      <c r="F16" s="5" t="s">
        <v>580</v>
      </c>
    </row>
    <row r="17" spans="1:6" ht="27.6">
      <c r="A17" s="4" t="s">
        <v>379</v>
      </c>
      <c r="B17" s="9" t="s">
        <v>378</v>
      </c>
      <c r="C17" s="9" t="s">
        <v>591</v>
      </c>
      <c r="D17" s="9" t="s">
        <v>592</v>
      </c>
      <c r="E17" s="9" t="s">
        <v>593</v>
      </c>
      <c r="F17" s="5" t="s">
        <v>594</v>
      </c>
    </row>
    <row r="18" spans="1:6" ht="27.6">
      <c r="A18" s="4" t="s">
        <v>379</v>
      </c>
      <c r="B18" s="9" t="s">
        <v>269</v>
      </c>
      <c r="C18" s="9" t="s">
        <v>595</v>
      </c>
      <c r="D18" s="9" t="s">
        <v>596</v>
      </c>
      <c r="E18" s="9" t="s">
        <v>597</v>
      </c>
      <c r="F18" s="5" t="s">
        <v>594</v>
      </c>
    </row>
    <row r="19" spans="1:6" ht="27.6">
      <c r="A19" s="4" t="s">
        <v>370</v>
      </c>
      <c r="B19" s="9" t="s">
        <v>369</v>
      </c>
      <c r="C19" s="9" t="s">
        <v>598</v>
      </c>
      <c r="D19" s="9" t="s">
        <v>599</v>
      </c>
      <c r="E19" s="9" t="s">
        <v>600</v>
      </c>
      <c r="F19" s="5" t="s">
        <v>601</v>
      </c>
    </row>
    <row r="20" spans="1:6" ht="27.6">
      <c r="A20" s="4" t="s">
        <v>370</v>
      </c>
      <c r="B20" s="9" t="s">
        <v>381</v>
      </c>
      <c r="C20" s="9" t="s">
        <v>602</v>
      </c>
      <c r="D20" s="9" t="s">
        <v>599</v>
      </c>
      <c r="E20" s="9" t="s">
        <v>600</v>
      </c>
      <c r="F20" s="5" t="s">
        <v>601</v>
      </c>
    </row>
    <row r="21" spans="1:6" ht="27.6">
      <c r="A21" s="4" t="s">
        <v>603</v>
      </c>
      <c r="B21" s="9" t="s">
        <v>604</v>
      </c>
      <c r="C21" s="9" t="s">
        <v>605</v>
      </c>
      <c r="D21" s="9" t="s">
        <v>606</v>
      </c>
      <c r="E21" s="9" t="s">
        <v>607</v>
      </c>
      <c r="F21" s="5" t="s">
        <v>608</v>
      </c>
    </row>
    <row r="22" spans="1:6" ht="27.6">
      <c r="A22" s="4" t="s">
        <v>603</v>
      </c>
      <c r="B22" s="9" t="s">
        <v>609</v>
      </c>
      <c r="C22" s="9" t="s">
        <v>610</v>
      </c>
      <c r="D22" s="9" t="s">
        <v>606</v>
      </c>
      <c r="E22" s="9" t="s">
        <v>611</v>
      </c>
      <c r="F22" s="5" t="s">
        <v>608</v>
      </c>
    </row>
    <row r="23" spans="1:6" ht="27.6">
      <c r="A23" s="4" t="s">
        <v>603</v>
      </c>
      <c r="B23" s="9" t="s">
        <v>612</v>
      </c>
      <c r="C23" s="9" t="s">
        <v>613</v>
      </c>
      <c r="D23" s="9" t="s">
        <v>606</v>
      </c>
      <c r="E23" s="9" t="s">
        <v>614</v>
      </c>
      <c r="F23" s="5" t="s">
        <v>608</v>
      </c>
    </row>
    <row r="24" spans="1:6" ht="27.6">
      <c r="A24" s="4" t="s">
        <v>615</v>
      </c>
      <c r="B24" s="9" t="s">
        <v>616</v>
      </c>
      <c r="C24" s="9" t="s">
        <v>617</v>
      </c>
      <c r="D24" s="9" t="s">
        <v>618</v>
      </c>
      <c r="E24" s="9" t="s">
        <v>619</v>
      </c>
      <c r="F24" s="5" t="s">
        <v>608</v>
      </c>
    </row>
    <row r="25" spans="1:6" ht="27.6">
      <c r="A25" s="4" t="s">
        <v>620</v>
      </c>
      <c r="B25" s="9" t="s">
        <v>621</v>
      </c>
      <c r="C25" s="9" t="s">
        <v>622</v>
      </c>
      <c r="D25" s="9" t="s">
        <v>623</v>
      </c>
      <c r="E25" s="9" t="s">
        <v>624</v>
      </c>
      <c r="F25" s="5" t="s">
        <v>625</v>
      </c>
    </row>
    <row r="26" spans="1:6" ht="27.6">
      <c r="A26" s="4" t="s">
        <v>620</v>
      </c>
      <c r="B26" s="9" t="s">
        <v>626</v>
      </c>
      <c r="C26" s="9" t="s">
        <v>627</v>
      </c>
      <c r="D26" s="9" t="s">
        <v>623</v>
      </c>
      <c r="E26" s="9" t="s">
        <v>628</v>
      </c>
      <c r="F26" s="5" t="s">
        <v>629</v>
      </c>
    </row>
    <row r="27" spans="1:6" ht="27.6">
      <c r="A27" s="6" t="s">
        <v>620</v>
      </c>
      <c r="B27" s="10" t="s">
        <v>630</v>
      </c>
      <c r="C27" s="10" t="s">
        <v>631</v>
      </c>
      <c r="D27" s="10" t="s">
        <v>623</v>
      </c>
      <c r="E27" s="10" t="s">
        <v>632</v>
      </c>
      <c r="F27" s="7" t="s">
        <v>633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"/>
  <sheetViews>
    <sheetView showGridLines="0" workbookViewId="0">
      <selection sqref="A1:XFD1048576"/>
    </sheetView>
  </sheetViews>
  <sheetFormatPr defaultRowHeight="13.8"/>
  <cols>
    <col min="1" max="2" width="18" customWidth="1"/>
    <col min="3" max="3" width="48" customWidth="1"/>
  </cols>
  <sheetData>
    <row r="1" spans="1:3" ht="14.4">
      <c r="A1" s="1" t="s">
        <v>634</v>
      </c>
      <c r="B1" s="1" t="s">
        <v>635</v>
      </c>
      <c r="C1" s="1" t="s">
        <v>636</v>
      </c>
    </row>
    <row r="2" spans="1:3" ht="41.4">
      <c r="A2" s="2" t="s">
        <v>117</v>
      </c>
      <c r="B2" s="8" t="s">
        <v>637</v>
      </c>
      <c r="C2" s="3" t="s">
        <v>638</v>
      </c>
    </row>
    <row r="3" spans="1:3" ht="27.6">
      <c r="A3" s="4" t="s">
        <v>639</v>
      </c>
      <c r="B3" s="9" t="s">
        <v>640</v>
      </c>
      <c r="C3" s="5" t="s">
        <v>641</v>
      </c>
    </row>
    <row r="4" spans="1:3" ht="41.4">
      <c r="A4" s="4" t="s">
        <v>642</v>
      </c>
      <c r="B4" s="9" t="s">
        <v>643</v>
      </c>
      <c r="C4" s="5" t="s">
        <v>644</v>
      </c>
    </row>
    <row r="5" spans="1:3" ht="27.6">
      <c r="A5" s="4" t="s">
        <v>645</v>
      </c>
      <c r="B5" s="9" t="s">
        <v>646</v>
      </c>
      <c r="C5" s="5" t="s">
        <v>562</v>
      </c>
    </row>
    <row r="6" spans="1:3" ht="27.6">
      <c r="A6" s="4" t="s">
        <v>647</v>
      </c>
      <c r="B6" s="9" t="s">
        <v>648</v>
      </c>
      <c r="C6" s="5" t="s">
        <v>594</v>
      </c>
    </row>
    <row r="7" spans="1:3" ht="41.4">
      <c r="A7" s="4" t="s">
        <v>649</v>
      </c>
      <c r="B7" s="9" t="s">
        <v>650</v>
      </c>
      <c r="C7" s="5" t="s">
        <v>608</v>
      </c>
    </row>
    <row r="8" spans="1:3" ht="27.6">
      <c r="A8" s="6" t="s">
        <v>651</v>
      </c>
      <c r="B8" s="10" t="s">
        <v>652</v>
      </c>
      <c r="C8" s="7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Scenario Catalog</vt:lpstr>
      <vt:lpstr>Providers</vt:lpstr>
      <vt:lpstr>Patients</vt:lpstr>
      <vt:lpstr>Coverage Contracts</vt:lpstr>
      <vt:lpstr>Claims Header</vt:lpstr>
      <vt:lpstr>Claim Lines</vt:lpstr>
      <vt:lpstr>Visits Encounters</vt:lpstr>
      <vt:lpstr>Provider Patterns</vt:lpstr>
      <vt:lpstr>Expected Agent Outcomes</vt:lpstr>
      <vt:lpstr>Audit Evidence</vt:lpstr>
      <vt:lpstr>Codebook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Mahendra</cp:lastModifiedBy>
  <dcterms:modified xsi:type="dcterms:W3CDTF">2026-06-24T10:12:07Z</dcterms:modified>
</cp:coreProperties>
</file>